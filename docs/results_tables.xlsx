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a01436457d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sentation Table" sheetId="1" r:id="R08f8a514668f4a27"/>
    <x:sheet xmlns:r="http://schemas.openxmlformats.org/officeDocument/2006/relationships" name="Read Me" sheetId="2" r:id="Rf03c212391274a74"/>
    <x:sheet xmlns:r="http://schemas.openxmlformats.org/officeDocument/2006/relationships" name="Aggregate" sheetId="3" r:id="R49808f9705174b23"/>
    <x:sheet xmlns:r="http://schemas.openxmlformats.org/officeDocument/2006/relationships" name="Bootstrap CIs" sheetId="4" r:id="Re66a473a0538490e"/>
    <x:sheet xmlns:r="http://schemas.openxmlformats.org/officeDocument/2006/relationships" name="Paired B-C" sheetId="5" r:id="R06850989ec9340be"/>
    <x:sheet xmlns:r="http://schemas.openxmlformats.org/officeDocument/2006/relationships" name="Pair Strata" sheetId="6" r:id="R369b43849ccc4efe"/>
    <x:sheet xmlns:r="http://schemas.openxmlformats.org/officeDocument/2006/relationships" name="Pair Controls" sheetId="7" r:id="R34e5d943354a4f14"/>
    <x:sheet xmlns:r="http://schemas.openxmlformats.org/officeDocument/2006/relationships" name="Latency" sheetId="8" r:id="R0dddd7baf0774abe"/>
    <x:sheet xmlns:r="http://schemas.openxmlformats.org/officeDocument/2006/relationships" name="Video Macro" sheetId="9" r:id="Re0dff78a617742f1"/>
    <x:sheet xmlns:r="http://schemas.openxmlformats.org/officeDocument/2006/relationships" name="Per Video" sheetId="10" r:id="R25e003df823c4824"/>
    <x:sheet xmlns:r="http://schemas.openxmlformats.org/officeDocument/2006/relationships" name="Summary" sheetId="11" r:id="Rbd0ad1532ca54a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#,##0"/>
    <x:numFmt numFmtId="202" formatCode="0.0%"/>
  </x:numFmts>
  <x:fonts count="12">
    <x:font>
      <x:sz val="11"/>
      <x:name val="Carlito"/>
    </x:font>
    <x:font>
      <x:b/>
      <x:sz val="18"/>
      <x:color rgb="FFFFFFFF"/>
      <x:name val="Aptos Display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52606D"/>
      <x:name val="Carlito"/>
    </x:font>
    <x:font>
      <x:b/>
      <x:sz val="10"/>
      <x:color rgb="FF1F2933"/>
      <x:name val="Aptos"/>
    </x:font>
    <x:font>
      <x:sz val="10"/>
      <x:color rgb="FF1F2933"/>
      <x:name val="Aptos"/>
    </x:font>
    <x:font>
      <x:i/>
      <x:sz val="10"/>
      <x:color rgb="FF1F2933"/>
      <x:name val="Aptos"/>
    </x:font>
    <x:font>
      <x:b/>
      <x:sz val="16"/>
      <x:color rgb="FFFFFFFF"/>
      <x:name val="Aptos Display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F6690"/>
      </x:patternFill>
    </x:fill>
    <x:fill>
      <x:patternFill patternType="solid">
        <x:fgColor rgb="FFEAF1F7"/>
      </x:patternFill>
    </x:fill>
    <x:fill>
      <x:patternFill patternType="solid">
        <x:fgColor rgb="FFF4F7FA"/>
      </x:patternFill>
    </x:fill>
  </x:fills>
  <x:borders count="6">
    <x:border/>
    <x:border>
      <x:left style="thin">
        <x:color rgb="FFD4DCE4"/>
      </x:left>
      <x:top style="thin">
        <x:color rgb="FFD4DCE4"/>
      </x:top>
      <x:bottom style="thin">
        <x:color rgb="FFD4DCE4"/>
      </x:bottom>
    </x:border>
    <x:border>
      <x:top style="thin">
        <x:color rgb="FFD4DCE4"/>
      </x:top>
      <x:bottom style="thin">
        <x:color rgb="FFD4DCE4"/>
      </x:bottom>
    </x:border>
    <x:border>
      <x:right style="thin">
        <x:color rgb="FFD4DCE4"/>
      </x:right>
      <x:top style="thin">
        <x:color rgb="FFD4DCE4"/>
      </x:top>
      <x:bottom style="thin">
        <x:color rgb="FFD4DCE4"/>
      </x:bottom>
    </x:border>
    <x:border>
      <x:bottom style="thin">
        <x:color rgb="FFD4DCE4"/>
      </x:bottom>
    </x:border>
    <x:border>
      <x:top style="thin">
        <x:color rgb="FFD4DCE4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vertical="center" wrapText="1"/>
    </x:xf>
    <x:xf numFmtId="0" fontId="7" fillId="3" borderId="2" xfId="0" applyNumberFormat="1" applyFont="1" applyFill="1" applyBorder="1" applyAlignment="1">
      <x:alignment vertical="center" wrapText="1"/>
    </x:xf>
    <x:xf numFmtId="0" fontId="7" fillId="3" borderId="3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/>
    <x:xf numFmtId="0" fontId="11" fillId="3" borderId="1" xfId="0" applyNumberFormat="1" applyFont="1" applyFill="1" applyBorder="1" applyAlignment="1">
      <x:alignment vertical="center" wrapText="1"/>
    </x:xf>
    <x:xf numFmtId="0" fontId="11" fillId="3" borderId="2" xfId="0" applyNumberFormat="1" applyFont="1" applyFill="1" applyBorder="1" applyAlignment="1">
      <x:alignment vertical="center" wrapText="1"/>
    </x:xf>
    <x:xf numFmtId="0" fontId="11" fillId="3" borderId="3" xfId="0" applyNumberFormat="1" applyFont="1" applyFill="1" applyBorder="1" applyAlignment="1">
      <x:alignment vertical="center" wrapText="1"/>
    </x:xf>
    <x:xf numFmtId="200" fontId="8" fillId="0" borderId="4" xfId="0" applyNumberFormat="1" applyFont="1" applyFill="1" applyBorder="1" applyAlignment="1">
      <x:alignment vertical="center"/>
    </x:xf>
    <x:xf numFmtId="200" fontId="8" fillId="0" borderId="2" xfId="0" applyNumberFormat="1" applyFont="1" applyFill="1" applyBorder="1" applyAlignment="1">
      <x:alignment vertical="center"/>
    </x:xf>
    <x:xf numFmtId="200" fontId="8" fillId="0" borderId="5" xfId="0" applyNumberFormat="1" applyFont="1" applyFill="1" applyBorder="1" applyAlignment="1">
      <x:alignment vertical="center"/>
    </x:xf>
    <x:xf numFmtId="201" fontId="8" fillId="0" borderId="4" xfId="0" applyNumberFormat="1" applyFont="1" applyFill="1" applyBorder="1" applyAlignment="1">
      <x:alignment vertical="center"/>
    </x:xf>
    <x:xf numFmtId="201" fontId="8" fillId="0" borderId="2" xfId="0" applyNumberFormat="1" applyFont="1" applyFill="1" applyBorder="1" applyAlignment="1">
      <x:alignment vertical="center"/>
    </x:xf>
    <x:xf numFmtId="201" fontId="8" fillId="0" borderId="5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3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3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3" fillId="0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0" xfId="0" applyNumberFormat="1" applyFont="1" applyFill="1" applyBorder="1"/>
    <x:xf numFmtId="202" fontId="0" fillId="0" borderId="4" xfId="0" applyNumberFormat="1" applyFont="1" applyFill="1" applyBorder="1"/>
    <x:xf numFmtId="202" fontId="0" fillId="0" borderId="2" xfId="0" applyNumberFormat="1" applyFont="1" applyFill="1" applyBorder="1"/>
    <x:xf numFmtId="202" fontId="0" fillId="0" borderId="5" xfId="0" applyNumberFormat="1" applyFont="1" applyFill="1" applyBorder="1"/>
    <x:xf numFmtId="0" fontId="7" fillId="4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7" fillId="0" borderId="4" xfId="0" applyNumberFormat="1" applyFont="1" applyFill="1" applyBorder="1"/>
    <x:xf numFmtId="0" fontId="8" fillId="0" borderId="4" xfId="0" applyNumberFormat="1" applyFont="1" applyFill="1" applyBorder="1"/>
    <x:xf numFmtId="200" fontId="8" fillId="0" borderId="4" xfId="0" applyNumberFormat="1" applyFont="1" applyFill="1" applyBorder="1"/>
    <x:xf numFmtId="201" fontId="8" fillId="0" borderId="4" xfId="0" applyNumberFormat="1" applyFont="1" applyFill="1" applyBorder="1"/>
    <x:xf numFmtId="0" fontId="7" fillId="0" borderId="2" xfId="0" applyNumberFormat="1" applyFont="1" applyFill="1" applyBorder="1"/>
    <x:xf numFmtId="0" fontId="8" fillId="0" borderId="2" xfId="0" applyNumberFormat="1" applyFont="1" applyFill="1" applyBorder="1"/>
    <x:xf numFmtId="200" fontId="8" fillId="0" borderId="2" xfId="0" applyNumberFormat="1" applyFont="1" applyFill="1" applyBorder="1"/>
    <x:xf numFmtId="201" fontId="8" fillId="0" borderId="2" xfId="0" applyNumberFormat="1" applyFont="1" applyFill="1" applyBorder="1"/>
    <x:xf numFmtId="0" fontId="7" fillId="0" borderId="5" xfId="0" applyNumberFormat="1" applyFont="1" applyFill="1" applyBorder="1"/>
    <x:xf numFmtId="0" fontId="8" fillId="0" borderId="5" xfId="0" applyNumberFormat="1" applyFont="1" applyFill="1" applyBorder="1"/>
    <x:xf numFmtId="200" fontId="8" fillId="0" borderId="5" xfId="0" applyNumberFormat="1" applyFont="1" applyFill="1" applyBorder="1"/>
    <x:xf numFmtId="201" fontId="8" fillId="0" borderId="5" xfId="0" applyNumberFormat="1" applyFont="1" applyFill="1" applyBorder="1"/>
    <x:xf numFmtId="202" fontId="8" fillId="0" borderId="4" xfId="0" applyNumberFormat="1" applyFont="1" applyFill="1" applyBorder="1"/>
    <x:xf numFmtId="202" fontId="8" fillId="0" borderId="2" xfId="0" applyNumberFormat="1" applyFont="1" applyFill="1" applyBorder="1"/>
    <x:xf numFmtId="202" fontId="8" fillId="0" borderId="5" xfId="0" applyNumberFormat="1" applyFont="1" applyFill="1" applyBorder="1"/>
    <x:xf numFmtId="0" fontId="7" fillId="3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3" borderId="0" xfId="0" applyNumberFormat="1" applyFont="1" applyFill="1" applyBorder="1"/>
  </x:cellXfs>
  <x:cellStyles count="1">
    <x:cellStyle name="Normal" xfId="0"/>
  </x:cellStyles>
  <x:dxfs count="2">
    <x:dxf>
      <x:font>
        <x:b/>
      </x:font>
      <x:fill>
        <x:patternFill patternType="solid">
          <x:bgColor rgb="FFE8F5E9"/>
        </x:patternFill>
      </x:fill>
    </x:dxf>
    <x:dxf>
      <x:font>
        <x:b/>
      </x:font>
      <x:fill>
        <x:patternFill patternType="solid"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b608fbadd44196" /><Relationship Type="http://schemas.openxmlformats.org/officeDocument/2006/relationships/theme" Target="/xl/theme/theme1.xml" Id="Rcc8faf27644243c3" /><Relationship Type="http://schemas.microsoft.com/office/2022/11/relationships/FeaturePropertyBag" Target="/xl/featurePropertyBag/featurePropertyBag.xml" Id="Raa98a26baf3c43d3" /><Relationship Type="http://schemas.openxmlformats.org/officeDocument/2006/relationships/sharedStrings" Target="/xl/sharedStrings.xml" Id="R8d5eb3f9d3634af4" /><Relationship Type="http://schemas.openxmlformats.org/officeDocument/2006/relationships/worksheet" Target="/xl/worksheets/sheet1.xml" Id="R08f8a514668f4a27" /><Relationship Type="http://schemas.openxmlformats.org/officeDocument/2006/relationships/worksheet" Target="/xl/worksheets/sheet2.xml" Id="Rf03c212391274a74" /><Relationship Type="http://schemas.openxmlformats.org/officeDocument/2006/relationships/worksheet" Target="/xl/worksheets/sheet3.xml" Id="R49808f9705174b23" /><Relationship Type="http://schemas.openxmlformats.org/officeDocument/2006/relationships/worksheet" Target="/xl/worksheets/sheet4.xml" Id="Re66a473a0538490e" /><Relationship Type="http://schemas.openxmlformats.org/officeDocument/2006/relationships/worksheet" Target="/xl/worksheets/sheet5.xml" Id="R06850989ec9340be" /><Relationship Type="http://schemas.openxmlformats.org/officeDocument/2006/relationships/worksheet" Target="/xl/worksheets/sheet6.xml" Id="R369b43849ccc4efe" /><Relationship Type="http://schemas.openxmlformats.org/officeDocument/2006/relationships/worksheet" Target="/xl/worksheets/sheet7.xml" Id="R34e5d943354a4f14" /><Relationship Type="http://schemas.openxmlformats.org/officeDocument/2006/relationships/worksheet" Target="/xl/worksheets/sheet8.xml" Id="R0dddd7baf0774abe" /><Relationship Type="http://schemas.openxmlformats.org/officeDocument/2006/relationships/worksheet" Target="/xl/worksheets/sheet9.xml" Id="Re0dff78a617742f1" /><Relationship Type="http://schemas.openxmlformats.org/officeDocument/2006/relationships/worksheet" Target="/xl/worksheets/sheet10.xml" Id="R25e003df823c4824" /><Relationship Type="http://schemas.openxmlformats.org/officeDocument/2006/relationships/worksheet" Target="/xl/worksheets/sheet11.xml" Id="Rbd0ad1532ca54ac9" /><Relationship Type="http://schemas.microsoft.com/office/2017/10/relationships/person" Target="/xl/persons/person.xml" Id="R05c535f9cfce41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9672E219-AF37-4AF6-AC3E-D6D0729B7C00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45" hidden="0" customWidth="1"/>
    <x:col min="9" max="9" width="24" hidden="0" customWidth="1"/>
  </x:cols>
  <x:sheetData>
    <x:row r="1" ht="21.600000381469727" hidden="0" customHeight="1">
      <x:c r="A1" s="2" t="str">
        <x:v>MOVi-A experiment - presentation result table</x:v>
      </x:c>
      <x:c r="B1" s="32"/>
      <x:c r="C1" s="32"/>
      <x:c r="D1" s="32"/>
      <x:c r="E1" s="32"/>
      <x:c r="F1" s="32"/>
      <x:c r="G1" s="32"/>
      <x:c r="H1" s="32"/>
      <x:c r="I1" s="32"/>
    </x:row>
    <x:row r="2" ht="15" hidden="0" customHeight="1">
      <x:c r="A2" s="33" t="str">
        <x:v>All four systems, operational test counts, paired confidence intervals, difficult-condition results, and presentation context.</x:v>
      </x:c>
      <x:c r="B2" s="32"/>
      <x:c r="C2" s="32"/>
      <x:c r="D2" s="32"/>
      <x:c r="E2" s="32"/>
      <x:c r="F2" s="32"/>
      <x:c r="G2" s="32"/>
      <x:c r="H2" s="32"/>
      <x:c r="I2" s="32"/>
    </x:row>
    <x:row r="3" ht="15" hidden="0" customHeight="1">
      <x:c r="A3" s="32"/>
      <x:c r="B3" s="32"/>
      <x:c r="C3" s="32"/>
      <x:c r="D3" s="32"/>
      <x:c r="E3" s="32"/>
      <x:c r="F3" s="32"/>
      <x:c r="G3" s="32"/>
      <x:c r="H3" s="32"/>
      <x:c r="I3" s="32"/>
    </x:row>
    <x:row r="4" ht="15" hidden="0" customHeight="1">
      <x:c r="A4" s="76" t="str">
        <x:v>Study design and evaluation basis</x:v>
      </x:c>
      <x:c r="B4" s="32"/>
      <x:c r="C4" s="32"/>
      <x:c r="D4" s="32"/>
      <x:c r="E4" s="32"/>
      <x:c r="F4" s="32"/>
      <x:c r="G4" s="32"/>
      <x:c r="H4" s="32"/>
      <x:c r="I4" s="32"/>
    </x:row>
    <x:row r="5" ht="15" hidden="0" customHeight="1">
      <x:c r="A5" s="97" t="str">
        <x:v>Design item</x:v>
      </x:c>
      <x:c r="B5" s="97" t="str">
        <x:v>Value</x:v>
      </x:c>
      <x:c r="C5" s="97" t="str">
        <x:v>Design item</x:v>
      </x:c>
      <x:c r="D5" s="97" t="str">
        <x:v>Value</x:v>
      </x:c>
      <x:c r="E5" s="98"/>
      <x:c r="F5" s="98"/>
      <x:c r="G5" s="98"/>
      <x:c r="H5" s="98"/>
      <x:c r="I5" s="98"/>
    </x:row>
    <x:row r="6" ht="24" hidden="0" customHeight="1">
      <x:c r="A6" s="78" t="str">
        <x:v>Selected videos</x:v>
      </x:c>
      <x:c r="B6" s="79" t="n">
        <x:v>50</x:v>
      </x:c>
      <x:c r="C6" s="78" t="str">
        <x:v>Locked video split</x:v>
      </x:c>
      <x:c r="D6" s="79" t="str">
        <x:v>30 train / 10 dev / 10 test</x:v>
      </x:c>
      <x:c r="E6" s="32"/>
      <x:c r="F6" s="32"/>
      <x:c r="G6" s="32"/>
      <x:c r="H6" s="32"/>
      <x:c r="I6" s="32"/>
    </x:row>
    <x:row r="7" ht="24" hidden="0" customHeight="1">
      <x:c r="A7" s="78" t="str">
        <x:v>Total pairs</x:v>
      </x:c>
      <x:c r="B7" s="79" t="n">
        <x:v>10000</x:v>
      </x:c>
      <x:c r="C7" s="78" t="str">
        <x:v>Pair split</x:v>
      </x:c>
      <x:c r="D7" s="79" t="str">
        <x:v>6,000 train / 2,000 dev / 2,000 test</x:v>
      </x:c>
      <x:c r="E7" s="32"/>
      <x:c r="F7" s="32"/>
      <x:c r="G7" s="32"/>
      <x:c r="H7" s="32"/>
      <x:c r="I7" s="32"/>
    </x:row>
    <x:row r="8" ht="15" hidden="0" customHeight="1">
      <x:c r="A8" s="78" t="str">
        <x:v>Test pair balance</x:v>
      </x:c>
      <x:c r="B8" s="79" t="str">
        <x:v>1,000 genuine / 1,000 nonmatch</x:v>
      </x:c>
      <x:c r="C8" s="78" t="str">
        <x:v>Cross-video pairs</x:v>
      </x:c>
      <x:c r="D8" s="79" t="n">
        <x:v>0</x:v>
      </x:c>
      <x:c r="E8" s="32"/>
      <x:c r="F8" s="32"/>
      <x:c r="G8" s="32"/>
      <x:c r="H8" s="32"/>
      <x:c r="I8" s="32"/>
    </x:row>
    <x:row r="9" ht="15" hidden="0" customHeight="1">
      <x:c r="A9" s="78" t="str">
        <x:v>Bootstrap</x:v>
      </x:c>
      <x:c r="B9" s="79" t="str">
        <x:v>10,000 paired video-cluster resamples</x:v>
      </x:c>
      <x:c r="C9" s="78" t="str">
        <x:v>Bootstrap unit</x:v>
      </x:c>
      <x:c r="D9" s="79" t="str">
        <x:v>10 test videos</x:v>
      </x:c>
      <x:c r="E9" s="32"/>
      <x:c r="F9" s="32"/>
      <x:c r="G9" s="32"/>
      <x:c r="H9" s="32"/>
      <x:c r="I9" s="32"/>
    </x:row>
    <x:row r="10" ht="15" hidden="0" customHeight="1">
      <x:c r="A10" s="32"/>
      <x:c r="B10" s="32"/>
      <x:c r="C10" s="32"/>
      <x:c r="D10" s="32"/>
      <x:c r="E10" s="32"/>
      <x:c r="F10" s="32"/>
      <x:c r="G10" s="32"/>
      <x:c r="H10" s="32"/>
      <x:c r="I10" s="32"/>
    </x:row>
    <x:row r="11" ht="15" hidden="0" customHeight="1">
      <x:c r="A11" s="76" t="str">
        <x:v>All four system versions on the locked 2,000-pair test set</x:v>
      </x:c>
      <x:c r="B11" s="32"/>
      <x:c r="C11" s="32"/>
      <x:c r="D11" s="32"/>
      <x:c r="E11" s="32"/>
      <x:c r="F11" s="32"/>
      <x:c r="G11" s="32"/>
      <x:c r="H11" s="32"/>
      <x:c r="I11" s="32"/>
    </x:row>
    <x:row r="12" ht="24" hidden="0" customHeight="1">
      <x:c r="A12" s="97" t="str">
        <x:v>Version</x:v>
      </x:c>
      <x:c r="B12" s="97" t="str">
        <x:v>Information used</x:v>
      </x:c>
      <x:c r="C12" s="97" t="str">
        <x:v>AUROC</x:v>
      </x:c>
      <x:c r="D12" s="97" t="str">
        <x:v>PR-AUC</x:v>
      </x:c>
      <x:c r="E12" s="97" t="str">
        <x:v>F1 locked</x:v>
      </x:c>
      <x:c r="F12" s="97" t="str">
        <x:v>False-match rate</x:v>
      </x:c>
      <x:c r="G12" s="97" t="str">
        <x:v>Genuine-match recall</x:v>
      </x:c>
      <x:c r="H12" s="97" t="str">
        <x:v>Genuine retained (of 1,000)</x:v>
      </x:c>
      <x:c r="I12" s="97" t="str">
        <x:v>False accepted (of 1,000)</x:v>
      </x:c>
    </x:row>
    <x:row r="13" ht="15" hidden="0" customHeight="1">
      <x:c r="A13" s="80" t="str">
        <x:v>A - RGB only</x:v>
      </x:c>
      <x:c r="B13" s="81" t="str">
        <x:v>Object crop appearance only</x:v>
      </x:c>
      <x:c r="C13" s="82" t="n">
        <x:f>'Aggregate'!F6</x:f>
        <x:v>0.736519</x:v>
      </x:c>
      <x:c r="D13" s="82" t="n">
        <x:f>'Aggregate'!G6</x:f>
        <x:v>0.742481484351</x:v>
      </x:c>
      <x:c r="E13" s="82" t="n">
        <x:f>'Aggregate'!H6</x:f>
        <x:v>0.683568075117</x:v>
      </x:c>
      <x:c r="F13" s="82" t="n">
        <x:f>'Aggregate'!I6</x:f>
        <x:v>0.563</x:v>
      </x:c>
      <x:c r="G13" s="82" t="n">
        <x:f>'Aggregate'!J6</x:f>
        <x:v>0.847</x:v>
      </x:c>
      <x:c r="H13" s="83" t="n">
        <x:f>ROUND(G13*1000,0)</x:f>
        <x:v>847</x:v>
      </x:c>
      <x:c r="I13" s="83" t="n">
        <x:f>ROUND(F13*1000,0)</x:f>
        <x:v>563</x:v>
      </x:c>
    </x:row>
    <x:row r="14" ht="15" hidden="0" customHeight="1">
      <x:c r="A14" s="84" t="str">
        <x:v>B - RGB + 2D</x:v>
      </x:c>
      <x:c r="B14" s="85" t="str">
        <x:v>Appearance plus ordinary 2D controls</x:v>
      </x:c>
      <x:c r="C14" s="86" t="n">
        <x:f>'Aggregate'!F8</x:f>
        <x:v>0.827765</x:v>
      </x:c>
      <x:c r="D14" s="86" t="n">
        <x:f>'Aggregate'!G8</x:f>
        <x:v>0.809096333946</x:v>
      </x:c>
      <x:c r="E14" s="86" t="n">
        <x:f>'Aggregate'!H8</x:f>
        <x:v>0.762803234501</x:v>
      </x:c>
      <x:c r="F14" s="86" t="n">
        <x:f>'Aggregate'!I8</x:f>
        <x:v>0.374</x:v>
      </x:c>
      <x:c r="G14" s="86" t="n">
        <x:f>'Aggregate'!J8</x:f>
        <x:v>0.845</x:v>
      </x:c>
      <x:c r="H14" s="87" t="n">
        <x:f>ROUND(G14*1000,0)</x:f>
        <x:v>845</x:v>
      </x:c>
      <x:c r="I14" s="87" t="n">
        <x:f>ROUND(F14*1000,0)</x:f>
        <x:v>374</x:v>
      </x:c>
    </x:row>
    <x:row r="15" ht="15" hidden="0" customHeight="1">
      <x:c r="A15" s="84" t="str">
        <x:v>C - RGB + 2D + 3D</x:v>
      </x:c>
      <x:c r="B15" s="85" t="str">
        <x:v>Appearance, 2D controls, depth and camera-space geometry</x:v>
      </x:c>
      <x:c r="C15" s="86" t="n">
        <x:f>'Aggregate'!F10</x:f>
        <x:v>0.888436</x:v>
      </x:c>
      <x:c r="D15" s="86" t="n">
        <x:f>'Aggregate'!G10</x:f>
        <x:v>0.886447403405</x:v>
      </x:c>
      <x:c r="E15" s="86" t="n">
        <x:f>'Aggregate'!H10</x:f>
        <x:v>0.797757654161</x:v>
      </x:c>
      <x:c r="F15" s="86" t="n">
        <x:f>'Aggregate'!I10</x:f>
        <x:v>0.295</x:v>
      </x:c>
      <x:c r="G15" s="86" t="n">
        <x:f>'Aggregate'!J10</x:f>
        <x:v>0.869</x:v>
      </x:c>
      <x:c r="H15" s="87" t="n">
        <x:f>ROUND(G15*1000,0)</x:f>
        <x:v>869</x:v>
      </x:c>
      <x:c r="I15" s="87" t="n">
        <x:f>ROUND(F15*1000,0)</x:f>
        <x:v>295</x:v>
      </x:c>
    </x:row>
    <x:row r="16" ht="15" hidden="0" customHeight="1">
      <x:c r="A16" s="88" t="str">
        <x:v>Geometry only</x:v>
      </x:c>
      <x:c r="B16" s="89" t="str">
        <x:v>2D, depth and 3D geometry without RGB appearance</x:v>
      </x:c>
      <x:c r="C16" s="90" t="n">
        <x:f>'Aggregate'!F12</x:f>
        <x:v>0.865357</x:v>
      </x:c>
      <x:c r="D16" s="90" t="n">
        <x:f>'Aggregate'!G12</x:f>
        <x:v>0.853473530383</x:v>
      </x:c>
      <x:c r="E16" s="90" t="n">
        <x:f>'Aggregate'!H12</x:f>
        <x:v>0.798769771529</x:v>
      </x:c>
      <x:c r="F16" s="90" t="n">
        <x:f>'Aggregate'!I12</x:f>
        <x:v>0.355</x:v>
      </x:c>
      <x:c r="G16" s="90" t="n">
        <x:f>'Aggregate'!J12</x:f>
        <x:v>0.904</x:v>
      </x:c>
      <x:c r="H16" s="91" t="n">
        <x:f>ROUND(G16*1000,0)</x:f>
        <x:v>904</x:v>
      </x:c>
      <x:c r="I16" s="91" t="n">
        <x:f>ROUND(F16*1000,0)</x:f>
        <x:v>355</x:v>
      </x:c>
    </x:row>
    <x:row r="17" ht="15" hidden="0" customHeight="1">
      <x:c r="A17" s="32"/>
      <x:c r="B17" s="32"/>
      <x:c r="C17" s="32"/>
      <x:c r="D17" s="32"/>
      <x:c r="E17" s="32"/>
      <x:c r="F17" s="32"/>
      <x:c r="G17" s="32"/>
      <x:c r="H17" s="32"/>
      <x:c r="I17" s="32"/>
    </x:row>
    <x:row r="18" ht="15" hidden="0" customHeight="1">
      <x:c r="A18" s="76" t="str">
        <x:v>Primary B-to-C change with paired 95% video-cluster confidence intervals</x:v>
      </x:c>
      <x:c r="B18" s="32"/>
      <x:c r="C18" s="32"/>
      <x:c r="D18" s="32"/>
      <x:c r="E18" s="32"/>
      <x:c r="F18" s="32"/>
      <x:c r="G18" s="32"/>
      <x:c r="H18" s="32"/>
      <x:c r="I18" s="32"/>
    </x:row>
    <x:row r="19" ht="15" hidden="0" customHeight="1">
      <x:c r="A19" s="97" t="str">
        <x:v>Metric</x:v>
      </x:c>
      <x:c r="B19" s="97" t="str">
        <x:v>B</x:v>
      </x:c>
      <x:c r="C19" s="97" t="str">
        <x:v>C</x:v>
      </x:c>
      <x:c r="D19" s="97" t="str">
        <x:v>C - B</x:v>
      </x:c>
      <x:c r="E19" s="97" t="str">
        <x:v>CI lower</x:v>
      </x:c>
      <x:c r="F19" s="97" t="str">
        <x:v>CI upper</x:v>
      </x:c>
      <x:c r="G19" s="97" t="str">
        <x:v>Excludes zero</x:v>
      </x:c>
      <x:c r="H19" s="97" t="str">
        <x:v>Plain-language reading</x:v>
      </x:c>
      <x:c r="I19" s="98"/>
    </x:row>
    <x:row r="20" ht="15" hidden="0" customHeight="1">
      <x:c r="A20" s="81" t="str">
        <x:v>AUROC</x:v>
      </x:c>
      <x:c r="B20" s="82" t="n">
        <x:f>'Aggregate'!F8</x:f>
        <x:v>0.827765</x:v>
      </x:c>
      <x:c r="C20" s="82" t="n">
        <x:f>'Aggregate'!F10</x:f>
        <x:v>0.888436</x:v>
      </x:c>
      <x:c r="D20" s="82" t="n">
        <x:f>'Paired B-C'!F5</x:f>
        <x:v>0.060671</x:v>
      </x:c>
      <x:c r="E20" s="82" t="n">
        <x:f>'Paired B-C'!H5</x:f>
        <x:v>0.04271476785</x:v>
      </x:c>
      <x:c r="F20" s="82" t="n">
        <x:f>'Paired B-C'!I5</x:f>
        <x:v>0.082230100927</x:v>
      </x:c>
      <x:c r="G20" s="81" t="str">
        <x:f>IF('Paired B-C'!M5,"Yes","No")</x:f>
        <x:v>Yes</x:v>
      </x:c>
      <x:c r="H20" s="81" t="str">
        <x:v>About 6.1 percentage points better ranking performance</x:v>
      </x:c>
      <x:c r="I20" s="32"/>
    </x:row>
    <x:row r="21" ht="15" hidden="0" customHeight="1">
      <x:c r="A21" s="85" t="str">
        <x:v>PR-AUC</x:v>
      </x:c>
      <x:c r="B21" s="86" t="n">
        <x:f>'Aggregate'!G8</x:f>
        <x:v>0.809096333946</x:v>
      </x:c>
      <x:c r="C21" s="86" t="n">
        <x:f>'Aggregate'!G10</x:f>
        <x:v>0.886447403405</x:v>
      </x:c>
      <x:c r="D21" s="86" t="n">
        <x:f>'Paired B-C'!F6</x:f>
        <x:v>0.077351069459</x:v>
      </x:c>
      <x:c r="E21" s="86" t="n">
        <x:f>'Paired B-C'!H6</x:f>
        <x:v>0.050300860448</x:v>
      </x:c>
      <x:c r="F21" s="86" t="n">
        <x:f>'Paired B-C'!I6</x:f>
        <x:v>0.101461644973</x:v>
      </x:c>
      <x:c r="G21" s="85" t="str">
        <x:f>IF('Paired B-C'!M6,"Yes","No")</x:f>
        <x:v>Yes</x:v>
      </x:c>
      <x:c r="H21" s="85" t="str">
        <x:v>About 7.7 percentage points better precision-recall performance</x:v>
      </x:c>
      <x:c r="I21" s="32"/>
    </x:row>
    <x:row r="22" ht="15" hidden="0" customHeight="1">
      <x:c r="A22" s="85" t="str">
        <x:v>F1 at locked threshold</x:v>
      </x:c>
      <x:c r="B22" s="86" t="n">
        <x:f>'Aggregate'!H8</x:f>
        <x:v>0.762803234501</x:v>
      </x:c>
      <x:c r="C22" s="86" t="n">
        <x:f>'Aggregate'!H10</x:f>
        <x:v>0.797757654161</x:v>
      </x:c>
      <x:c r="D22" s="86" t="n">
        <x:f>'Paired B-C'!F7</x:f>
        <x:v>0.03495441966</x:v>
      </x:c>
      <x:c r="E22" s="86" t="n">
        <x:f>'Paired B-C'!H7</x:f>
        <x:v>0.017539799765</x:v>
      </x:c>
      <x:c r="F22" s="86" t="n">
        <x:f>'Paired B-C'!I7</x:f>
        <x:v>0.053815639571</x:v>
      </x:c>
      <x:c r="G22" s="85" t="str">
        <x:f>IF('Paired B-C'!M7,"Yes","No")</x:f>
        <x:v>Yes</x:v>
      </x:c>
      <x:c r="H22" s="85" t="str">
        <x:v>About 3.5 percentage points higher fixed-threshold F1</x:v>
      </x:c>
      <x:c r="I22" s="32"/>
    </x:row>
    <x:row r="23" ht="15" hidden="0" customHeight="1">
      <x:c r="A23" s="85" t="str">
        <x:v>False-match rate at locked 90%-recall rule</x:v>
      </x:c>
      <x:c r="B23" s="86" t="n">
        <x:f>'Aggregate'!I8</x:f>
        <x:v>0.374</x:v>
      </x:c>
      <x:c r="C23" s="86" t="n">
        <x:f>'Aggregate'!I10</x:f>
        <x:v>0.295</x:v>
      </x:c>
      <x:c r="D23" s="86" t="n">
        <x:f>'Paired B-C'!F8</x:f>
        <x:v>-0.079</x:v>
      </x:c>
      <x:c r="E23" s="86" t="n">
        <x:f>'Paired B-C'!H8</x:f>
        <x:v>-0.121979596904</x:v>
      </x:c>
      <x:c r="F23" s="86" t="n">
        <x:f>'Paired B-C'!I8</x:f>
        <x:v>-0.03489502423</x:v>
      </x:c>
      <x:c r="G23" s="85" t="str">
        <x:f>IF('Paired B-C'!M8,"Yes","No")</x:f>
        <x:v>Yes</x:v>
      </x:c>
      <x:c r="H23" s="85" t="str">
        <x:v>7.9 percentage points fewer nonmatches accepted</x:v>
      </x:c>
      <x:c r="I23" s="32"/>
    </x:row>
    <x:row r="24" ht="15" hidden="0" customHeight="1">
      <x:c r="A24" s="89" t="str">
        <x:v>Achieved genuine-match recall</x:v>
      </x:c>
      <x:c r="B24" s="90" t="n">
        <x:f>'Aggregate'!J8</x:f>
        <x:v>0.845</x:v>
      </x:c>
      <x:c r="C24" s="90" t="n">
        <x:f>'Aggregate'!J10</x:f>
        <x:v>0.869</x:v>
      </x:c>
      <x:c r="D24" s="90" t="n">
        <x:f>'Paired B-C'!F9</x:f>
        <x:v>0.024</x:v>
      </x:c>
      <x:c r="E24" s="90" t="n">
        <x:f>'Paired B-C'!H9</x:f>
        <x:v>-0.01</x:v>
      </x:c>
      <x:c r="F24" s="90" t="n">
        <x:f>'Paired B-C'!I9</x:f>
        <x:v>0.056</x:v>
      </x:c>
      <x:c r="G24" s="89" t="str">
        <x:f>IF('Paired B-C'!M9,"Yes","No")</x:f>
        <x:v>No</x:v>
      </x:c>
      <x:c r="H24" s="89" t="str">
        <x:v>2.4 percentage points more genuine matches retained; interval crosses zero</x:v>
      </x:c>
      <x:c r="I24" s="32"/>
    </x:row>
    <x:row r="25" ht="15" hidden="0" customHeight="1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 ht="15" hidden="0" customHeight="1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 ht="15" hidden="0" customHeight="1">
      <x:c r="A27" s="76" t="str">
        <x:v>Operational impact on the balanced test set</x:v>
      </x:c>
      <x:c r="B27" s="32"/>
      <x:c r="C27" s="32"/>
      <x:c r="D27" s="32"/>
      <x:c r="E27" s="32"/>
      <x:c r="F27" s="32"/>
      <x:c r="G27" s="32"/>
      <x:c r="H27" s="32"/>
      <x:c r="I27" s="32"/>
    </x:row>
    <x:row r="28" ht="15" hidden="0" customHeight="1">
      <x:c r="A28" s="97" t="str">
        <x:v>Test outcome</x:v>
      </x:c>
      <x:c r="B28" s="97" t="str">
        <x:v>B count</x:v>
      </x:c>
      <x:c r="C28" s="97" t="str">
        <x:v>C count</x:v>
      </x:c>
      <x:c r="D28" s="97" t="str">
        <x:v>Count change</x:v>
      </x:c>
      <x:c r="E28" s="97" t="str">
        <x:v>Relative change</x:v>
      </x:c>
      <x:c r="F28" s="97" t="str">
        <x:v>Meaning</x:v>
      </x:c>
      <x:c r="G28" s="98"/>
      <x:c r="H28" s="98"/>
      <x:c r="I28" s="98"/>
    </x:row>
    <x:row r="29" ht="15" hidden="0" customHeight="1">
      <x:c r="A29" s="80" t="str">
        <x:v>False matches accepted</x:v>
      </x:c>
      <x:c r="B29" s="83" t="n">
        <x:f>I14</x:f>
        <x:v>374</x:v>
      </x:c>
      <x:c r="C29" s="83" t="n">
        <x:f>I15</x:f>
        <x:v>295</x:v>
      </x:c>
      <x:c r="D29" s="83" t="n">
        <x:f>C29-B29</x:f>
        <x:v>-79</x:v>
      </x:c>
      <x:c r="E29" s="92" t="n">
        <x:f>D29/B29</x:f>
        <x:v>-0.21122994652406418</x:v>
      </x:c>
      <x:c r="F29" s="81" t="str">
        <x:f>"— 79 fewer false matches; about "&amp;TEXT(ABS(E29),"0.0%")&amp;" relative reduction"</x:f>
        <x:v>— 79 fewer false matches; about 21.1% relative reduction</x:v>
      </x:c>
      <x:c r="G29" s="32"/>
      <x:c r="H29" s="32"/>
      <x:c r="I29" s="32"/>
    </x:row>
    <x:row r="30" ht="15" hidden="0" customHeight="1">
      <x:c r="A30" s="84" t="str">
        <x:v>Genuine matches retained</x:v>
      </x:c>
      <x:c r="B30" s="87" t="n">
        <x:f>H14</x:f>
        <x:v>845</x:v>
      </x:c>
      <x:c r="C30" s="87" t="n">
        <x:f>H15</x:f>
        <x:v>869</x:v>
      </x:c>
      <x:c r="D30" s="87" t="n">
        <x:f>C30-B30</x:f>
        <x:v>24</x:v>
      </x:c>
      <x:c r="E30" s="93" t="n">
        <x:f>D30/B30</x:f>
        <x:v>0.028402366863905324</x:v>
      </x:c>
      <x:c r="F30" s="85" t="str">
        <x:f>"— 24 additional genuine matches retained"</x:f>
        <x:v>— 24 additional genuine matches retained</x:v>
      </x:c>
      <x:c r="G30" s="32"/>
      <x:c r="H30" s="32"/>
      <x:c r="I30" s="32"/>
    </x:row>
    <x:row r="31" ht="15" hidden="0" customHeight="1">
      <x:c r="A31" s="84" t="str">
        <x:v>Genuine matches missed</x:v>
      </x:c>
      <x:c r="B31" s="87" t="n">
        <x:f>1000-B30</x:f>
        <x:v>155</x:v>
      </x:c>
      <x:c r="C31" s="87" t="n">
        <x:f>1000-C30</x:f>
        <x:v>131</x:v>
      </x:c>
      <x:c r="D31" s="87" t="n">
        <x:f>C31-B31</x:f>
        <x:v>-24</x:v>
      </x:c>
      <x:c r="E31" s="93" t="n">
        <x:f>D31/B31</x:f>
        <x:v>-0.15483870967741936</x:v>
      </x:c>
      <x:c r="F31" s="85" t="str">
        <x:f>"— 24 fewer genuine matches missed"</x:f>
        <x:v>— 24 fewer genuine matches missed</x:v>
      </x:c>
      <x:c r="G31" s="32"/>
      <x:c r="H31" s="32"/>
      <x:c r="I31" s="32"/>
    </x:row>
    <x:row r="32" ht="15" hidden="0" customHeight="1">
      <x:c r="A32" s="88" t="str">
        <x:v>Nonmatches correctly rejected</x:v>
      </x:c>
      <x:c r="B32" s="91" t="n">
        <x:f>1000-B29</x:f>
        <x:v>626</x:v>
      </x:c>
      <x:c r="C32" s="91" t="n">
        <x:f>1000-C29</x:f>
        <x:v>705</x:v>
      </x:c>
      <x:c r="D32" s="91" t="n">
        <x:f>C32-B32</x:f>
        <x:v>79</x:v>
      </x:c>
      <x:c r="E32" s="94" t="n">
        <x:f>D32/B32</x:f>
        <x:v>0.12619808306709265</x:v>
      </x:c>
      <x:c r="F32" s="89" t="str">
        <x:f>"— 79 additional nonmatches correctly rejected"</x:f>
        <x:v>— 79 additional nonmatches correctly rejected</x:v>
      </x:c>
      <x:c r="G32" s="32"/>
      <x:c r="H32" s="32"/>
      <x:c r="I32" s="32"/>
    </x:row>
    <x:row r="33" ht="15" hidden="0" customHeight="1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 ht="15" hidden="0" customHeight="1">
      <x:c r="A34" s="76" t="str">
        <x:v>Where 3D geometry helped: AUROC by difficult condition</x:v>
      </x:c>
      <x:c r="B34" s="32"/>
      <x:c r="C34" s="32"/>
      <x:c r="D34" s="32"/>
      <x:c r="E34" s="32"/>
      <x:c r="F34" s="32"/>
      <x:c r="G34" s="32"/>
      <x:c r="H34" s="32"/>
      <x:c r="I34" s="32"/>
    </x:row>
    <x:row r="35" ht="15" hidden="0" customHeight="1">
      <x:c r="A35" s="99" t="str">
        <x:v>Condition</x:v>
      </x:c>
      <x:c r="B35" s="99" t="str">
        <x:v>B AUROC</x:v>
      </x:c>
      <x:c r="C35" s="99" t="str">
        <x:v>C AUROC</x:v>
      </x:c>
      <x:c r="D35" s="99" t="str">
        <x:v>C - B</x:v>
      </x:c>
      <x:c r="E35" s="99" t="str">
        <x:v>Improved</x:v>
      </x:c>
      <x:c r="F35" s="98"/>
      <x:c r="G35" s="98"/>
      <x:c r="H35" s="98"/>
      <x:c r="I35" s="98"/>
    </x:row>
    <x:row r="36" ht="15" hidden="0" customHeight="1">
      <x:c r="A36" s="81" t="str">
        <x:v>Matched-attribute hard negatives</x:v>
      </x:c>
      <x:c r="B36" s="82" t="n">
        <x:f>'Pair Strata'!G6</x:f>
        <x:v>0.75663</x:v>
      </x:c>
      <x:c r="C36" s="82" t="n">
        <x:f>'Pair Strata'!G7</x:f>
        <x:v>0.85317</x:v>
      </x:c>
      <x:c r="D36" s="82" t="n">
        <x:f>C36-B36</x:f>
        <x:v>0.09653999999999996</x:v>
      </x:c>
      <x:c r="E36" s="81" t="str">
        <x:f>IF(D36&gt;0,"Yes","No")</x:f>
        <x:v>Yes</x:v>
      </x:c>
      <x:c r="F36" s="32"/>
      <x:c r="G36" s="32"/>
      <x:c r="H36" s="32"/>
      <x:c r="I36" s="32"/>
    </x:row>
    <x:row r="37" ht="15" hidden="0" customHeight="1">
      <x:c r="A37" s="85" t="str">
        <x:v>Short temporal gap</x:v>
      </x:c>
      <x:c r="B37" s="86" t="n">
        <x:f>'Pair Strata'!G14</x:f>
        <x:v>0.942002223099</x:v>
      </x:c>
      <x:c r="C37" s="86" t="n">
        <x:f>'Pair Strata'!G15</x:f>
        <x:v>0.969853705762</x:v>
      </x:c>
      <x:c r="D37" s="86" t="n">
        <x:f>C37-B37</x:f>
        <x:v>0.027851482663000082</x:v>
      </x:c>
      <x:c r="E37" s="85" t="str">
        <x:f>IF(D37&gt;0,"Yes","No")</x:f>
        <x:v>Yes</x:v>
      </x:c>
      <x:c r="F37" s="32"/>
      <x:c r="G37" s="32"/>
      <x:c r="H37" s="32"/>
      <x:c r="I37" s="32"/>
    </x:row>
    <x:row r="38" ht="15" hidden="0" customHeight="1">
      <x:c r="A38" s="85" t="str">
        <x:v>Medium temporal gap</x:v>
      </x:c>
      <x:c r="B38" s="86" t="n">
        <x:f>'Pair Strata'!G18</x:f>
        <x:v>0.838460081703</x:v>
      </x:c>
      <x:c r="C38" s="86" t="n">
        <x:f>'Pair Strata'!G19</x:f>
        <x:v>0.89591393195</x:v>
      </x:c>
      <x:c r="D38" s="86" t="n">
        <x:f>C38-B38</x:f>
        <x:v>0.057453850247000005</x:v>
      </x:c>
      <x:c r="E38" s="85" t="str">
        <x:f>IF(D38&gt;0,"Yes","No")</x:f>
        <x:v>Yes</x:v>
      </x:c>
      <x:c r="F38" s="32"/>
      <x:c r="G38" s="32"/>
      <x:c r="H38" s="32"/>
      <x:c r="I38" s="32"/>
    </x:row>
    <x:row r="39" ht="15" hidden="0" customHeight="1">
      <x:c r="A39" s="85" t="str">
        <x:v>Long temporal gap</x:v>
      </x:c>
      <x:c r="B39" s="86" t="n">
        <x:f>'Pair Strata'!G22</x:f>
        <x:v>0.668407145885</x:v>
      </x:c>
      <x:c r="C39" s="86" t="n">
        <x:f>'Pair Strata'!G23</x:f>
        <x:v>0.744753762772</x:v>
      </x:c>
      <x:c r="D39" s="86" t="n">
        <x:f>C39-B39</x:f>
        <x:v>0.07634661688699995</x:v>
      </x:c>
      <x:c r="E39" s="85" t="str">
        <x:f>IF(D39&gt;0,"Yes","No")</x:f>
        <x:v>Yes</x:v>
      </x:c>
      <x:c r="F39" s="32"/>
      <x:c r="G39" s="32"/>
      <x:c r="H39" s="32"/>
      <x:c r="I39" s="32"/>
    </x:row>
    <x:row r="40" ht="15" hidden="0" customHeight="1">
      <x:c r="A40" s="85" t="str">
        <x:v>Low visibility</x:v>
      </x:c>
      <x:c r="B40" s="86" t="n">
        <x:f>'Pair Strata'!G26</x:f>
        <x:v>0.836460950586</x:v>
      </x:c>
      <x:c r="C40" s="86" t="n">
        <x:f>'Pair Strata'!G27</x:f>
        <x:v>0.873972728224</x:v>
      </x:c>
      <x:c r="D40" s="86" t="n">
        <x:f>C40-B40</x:f>
        <x:v>0.037511777637999955</x:v>
      </x:c>
      <x:c r="E40" s="85" t="str">
        <x:f>IF(D40&gt;0,"Yes","No")</x:f>
        <x:v>Yes</x:v>
      </x:c>
      <x:c r="F40" s="32"/>
      <x:c r="G40" s="32"/>
      <x:c r="H40" s="32"/>
      <x:c r="I40" s="32"/>
    </x:row>
    <x:row r="41" ht="15" hidden="0" customHeight="1">
      <x:c r="A41" s="85" t="str">
        <x:v>Medium visibility</x:v>
      </x:c>
      <x:c r="B41" s="86" t="n">
        <x:f>'Pair Strata'!G30</x:f>
        <x:v>0.827301641072</x:v>
      </x:c>
      <x:c r="C41" s="86" t="n">
        <x:f>'Pair Strata'!G31</x:f>
        <x:v>0.897423592291</x:v>
      </x:c>
      <x:c r="D41" s="86" t="n">
        <x:f>C41-B41</x:f>
        <x:v>0.070121951219</x:v>
      </x:c>
      <x:c r="E41" s="85" t="str">
        <x:f>IF(D41&gt;0,"Yes","No")</x:f>
        <x:v>Yes</x:v>
      </x:c>
      <x:c r="F41" s="32"/>
      <x:c r="G41" s="32"/>
      <x:c r="H41" s="32"/>
      <x:c r="I41" s="32"/>
    </x:row>
    <x:row r="42" ht="15" hidden="0" customHeight="1">
      <x:c r="A42" s="85" t="str">
        <x:v>High visibility</x:v>
      </x:c>
      <x:c r="B42" s="86" t="n">
        <x:f>'Pair Strata'!G34</x:f>
        <x:v>0.818570143885</x:v>
      </x:c>
      <x:c r="C42" s="86" t="n">
        <x:f>'Pair Strata'!G35</x:f>
        <x:v>0.901728617106</x:v>
      </x:c>
      <x:c r="D42" s="86" t="n">
        <x:f>C42-B42</x:f>
        <x:v>0.083158473221</x:v>
      </x:c>
      <x:c r="E42" s="85" t="str">
        <x:f>IF(D42&gt;0,"Yes","No")</x:f>
        <x:v>Yes</x:v>
      </x:c>
      <x:c r="F42" s="32"/>
      <x:c r="G42" s="32"/>
      <x:c r="H42" s="32"/>
      <x:c r="I42" s="32"/>
    </x:row>
    <x:row r="43" ht="15" hidden="0" customHeight="1">
      <x:c r="A43" s="85" t="str">
        <x:v>Low motion</x:v>
      </x:c>
      <x:c r="B43" s="86" t="n">
        <x:f>'Pair Strata'!G38</x:f>
        <x:v>0.897181606273</x:v>
      </x:c>
      <x:c r="C43" s="86" t="n">
        <x:f>'Pair Strata'!G39</x:f>
        <x:v>0.943639189094</x:v>
      </x:c>
      <x:c r="D43" s="86" t="n">
        <x:f>C43-B43</x:f>
        <x:v>0.04645758282099999</x:v>
      </x:c>
      <x:c r="E43" s="85" t="str">
        <x:f>IF(D43&gt;0,"Yes","No")</x:f>
        <x:v>Yes</x:v>
      </x:c>
      <x:c r="F43" s="32"/>
      <x:c r="G43" s="32"/>
      <x:c r="H43" s="32"/>
      <x:c r="I43" s="32"/>
    </x:row>
    <x:row r="44" ht="15" hidden="0" customHeight="1">
      <x:c r="A44" s="85" t="str">
        <x:v>Medium motion</x:v>
      </x:c>
      <x:c r="B44" s="86" t="n">
        <x:f>'Pair Strata'!G42</x:f>
        <x:v>0.80352884564</x:v>
      </x:c>
      <x:c r="C44" s="86" t="n">
        <x:f>'Pair Strata'!G43</x:f>
        <x:v>0.894284339411</x:v>
      </x:c>
      <x:c r="D44" s="86" t="n">
        <x:f>C44-B44</x:f>
        <x:v>0.090755493771</x:v>
      </x:c>
      <x:c r="E44" s="85" t="str">
        <x:f>IF(D44&gt;0,"Yes","No")</x:f>
        <x:v>Yes</x:v>
      </x:c>
      <x:c r="F44" s="32"/>
      <x:c r="G44" s="32"/>
      <x:c r="H44" s="32"/>
      <x:c r="I44" s="32"/>
    </x:row>
    <x:row r="45" ht="15" hidden="0" customHeight="1">
      <x:c r="A45" s="89" t="str">
        <x:v>High motion</x:v>
      </x:c>
      <x:c r="B45" s="90" t="n">
        <x:f>'Pair Strata'!G46</x:f>
        <x:v>0.779164920264</x:v>
      </x:c>
      <x:c r="C45" s="90" t="n">
        <x:f>'Pair Strata'!G47</x:f>
        <x:v>0.826886613576</x:v>
      </x:c>
      <x:c r="D45" s="90" t="n">
        <x:f>C45-B45</x:f>
        <x:v>0.047721693312000046</x:v>
      </x:c>
      <x:c r="E45" s="89" t="str">
        <x:f>IF(D45&gt;0,"Yes","No")</x:f>
        <x:v>Yes</x:v>
      </x:c>
      <x:c r="F45" s="32"/>
      <x:c r="G45" s="32"/>
      <x:c r="H45" s="32"/>
      <x:c r="I45" s="32"/>
    </x:row>
    <x:row r="46" ht="15" hidden="0" customHeight="1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 ht="15" hidden="0" customHeight="1">
      <x:c r="A47" s="76" t="str">
        <x:v>Failure review and interpretation boundary</x:v>
      </x:c>
      <x:c r="B47" s="32"/>
      <x:c r="C47" s="32"/>
      <x:c r="D47" s="32"/>
      <x:c r="E47" s="32"/>
      <x:c r="F47" s="32"/>
      <x:c r="G47" s="32"/>
      <x:c r="H47" s="32"/>
      <x:c r="I47" s="32"/>
    </x:row>
    <x:row r="48" ht="15" hidden="0" customHeight="1">
      <x:c r="A48" s="96" t="str">
        <x:v>Failure gallery: 24 unique fixed-threshold errors - 12 false positives, 12 false negatives, and 6 examples per system version.</x:v>
      </x:c>
      <x:c r="B48" s="96"/>
      <x:c r="C48" s="96"/>
      <x:c r="D48" s="96"/>
      <x:c r="E48" s="96"/>
      <x:c r="F48" s="96"/>
      <x:c r="G48" s="96"/>
      <x:c r="H48" s="96"/>
      <x:c r="I48" s="96"/>
    </x:row>
    <x:row r="49" ht="15" hidden="0" customHeight="1">
      <x:c r="A49" s="96" t="str">
        <x:v>Recurring diagnoses: matched-attribute distractors, long-gap motion, occlusion/truncated masks, and biased depth estimates.</x:v>
      </x:c>
      <x:c r="B49" s="96"/>
      <x:c r="C49" s="96"/>
      <x:c r="D49" s="96"/>
      <x:c r="E49" s="96"/>
      <x:c r="F49" s="96"/>
      <x:c r="G49" s="96"/>
      <x:c r="H49" s="96"/>
      <x:c r="I49" s="96"/>
    </x:row>
    <x:row r="50" ht="15" hidden="0" customHeight="1">
      <x:c r="A50" s="96" t="str">
        <x:v>Oracle geometry: simulator-provided masks, depth and calibration are privileged, unusually clean inputs.</x:v>
      </x:c>
      <x:c r="B50" s="96"/>
      <x:c r="C50" s="96"/>
      <x:c r="D50" s="96"/>
      <x:c r="E50" s="96"/>
      <x:c r="F50" s="96"/>
      <x:c r="G50" s="96"/>
      <x:c r="H50" s="96"/>
      <x:c r="I50" s="96"/>
    </x:row>
    <x:row r="51" ht="15" hidden="0" customHeight="1">
      <x:c r="A51" s="96" t="str">
        <x:v>Fixed camera: camera motion, pose estimation, parallax compensation and calibration drift were not tested.</x:v>
      </x:c>
      <x:c r="B51" s="96"/>
      <x:c r="C51" s="96"/>
      <x:c r="D51" s="96"/>
      <x:c r="E51" s="96"/>
      <x:c r="F51" s="96"/>
      <x:c r="G51" s="96"/>
      <x:c r="H51" s="96"/>
      <x:c r="I51" s="96"/>
    </x:row>
  </x:sheetData>
  <x:mergeCells>
    <x:mergeCell ref="A1:I1"/>
    <x:mergeCell ref="A2:I2"/>
    <x:mergeCell ref="A4:I4"/>
    <x:mergeCell ref="A11:I11"/>
    <x:mergeCell ref="A18:H18"/>
    <x:mergeCell ref="A27:F27"/>
    <x:mergeCell ref="F28:I28"/>
    <x:mergeCell ref="F29:I29"/>
    <x:mergeCell ref="F30:I30"/>
    <x:mergeCell ref="F31:I31"/>
    <x:mergeCell ref="F32:I32"/>
    <x:mergeCell ref="A34:E34"/>
    <x:mergeCell ref="A47:I47"/>
    <x:mergeCell ref="A48:I48"/>
    <x:mergeCell ref="A49:I49"/>
    <x:mergeCell ref="A50:I50"/>
    <x:mergeCell ref="A51:I5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2" customHeight="1">
      <x:c r="A1" s="2" t="str">
        <x:v>MOVi-A experiment results tables</x:v>
      </x:c>
    </x:row>
    <x:row r="3">
      <x:c r="A3" s="6" t="str">
        <x:v>Field</x:v>
      </x:c>
      <x:c r="B3" s="6" t="str">
        <x:v>Value</x:v>
      </x:c>
    </x:row>
    <x:row r="4">
      <x:c r="A4" s="7" t="str">
        <x:v>Purpose</x:v>
      </x:c>
      <x:c r="B4" s="8" t="str">
        <x:v>Locked baseline/control metrics, confidence intervals, pair strata, pair controls, and latency.</x:v>
      </x:c>
    </x:row>
    <x:row r="5">
      <x:c r="A5" s="7" t="str">
        <x:v>Seed</x:v>
      </x:c>
      <x:c r="B5" s="8" t="n">
        <x:v>20260727</x:v>
      </x:c>
    </x:row>
    <x:row r="6">
      <x:c r="A6" s="7" t="str">
        <x:v>Dataset</x:v>
      </x:c>
      <x:c r="B6" s="8" t="str">
        <x:v>MOVi-A 128x128 validation; 50 selected videos</x:v>
      </x:c>
    </x:row>
    <x:row r="7">
      <x:c r="A7" s="7" t="str">
        <x:v>Split</x:v>
      </x:c>
      <x:c r="B7" s="8" t="str">
        <x:v>30 train / 10 dev / 10 test videos</x:v>
      </x:c>
    </x:row>
    <x:row r="8">
      <x:c r="A8" s="7" t="str">
        <x:v>Pairs</x:v>
      </x:c>
      <x:c r="B8" s="8" t="str">
        <x:v>6,000 / 2,000 / 2,000; all within-video</x:v>
      </x:c>
    </x:row>
    <x:row r="9">
      <x:c r="A9" s="7" t="str">
        <x:v>Primary comparison</x:v>
      </x:c>
      <x:c r="B9" s="8" t="str">
        <x:v>B RGB+2D versus C RGB+2D+depth/3D</x:v>
      </x:c>
    </x:row>
    <x:row r="10">
      <x:c r="A10" s="7" t="str">
        <x:v>Confidence interval</x:v>
      </x:c>
      <x:c r="B10" s="8" t="str">
        <x:v>10,000-replicate paired percentile video-cluster bootstrap</x:v>
      </x:c>
    </x:row>
    <x:row r="11">
      <x:c r="A11" s="7" t="str">
        <x:v>Fixed thresholds</x:v>
      </x:c>
      <x:c r="B11" s="8" t="str">
        <x:v>Selected on dev only; maximum-F1 and 90%-recall operating points</x:v>
      </x:c>
    </x:row>
    <x:row r="12">
      <x:c r="A12" s="7" t="str">
        <x:v>Oracle caveat</x:v>
      </x:c>
      <x:c r="B12" s="8" t="str">
        <x:v>Depth, masks and calibration are simulator-provided; this is an oracle-like geometry study.</x:v>
      </x:c>
    </x:row>
    <x:row r="13">
      <x:c r="A13" s="7" t="str">
        <x:v>Camera caveat</x:v>
      </x:c>
      <x:c r="B13" s="8" t="str">
        <x:v>MOVi-A is fixed-camera within each video; moving-camera generalization is untested.</x:v>
      </x:c>
    </x:row>
    <x:row r="15">
      <x:c r="A15" s="10" t="str">
        <x:v>Source URLs</x:v>
      </x:c>
    </x:row>
    <x:row r="16">
      <x:c r="A16" s="11" t="str">
        <x:v>MOVi/Kubric</x:v>
      </x:c>
      <x:c r="B16" s="8" t="str">
        <x:v>https://github.com/google-research/kubric/tree/main/challenges/movi</x:v>
      </x:c>
    </x:row>
    <x:row r="17">
      <x:c r="A17" s="11" t="str">
        <x:v>ResNet-18 weights</x:v>
      </x:c>
      <x:c r="B17" s="8" t="str">
        <x:v>https://docs.pytorch.org/vision/main/models/generated/torchvision.models.resnet18</x:v>
      </x:c>
    </x:row>
    <x:row r="18">
      <x:c r="A18" s="11" t="str">
        <x:v>PyTorch license</x:v>
      </x:c>
      <x:c r="B18" s="8" t="str">
        <x:v>https://github.com/pytorch/pytorch/blob/main/LICENSE</x:v>
      </x:c>
    </x:row>
    <x:row r="19">
      <x:c r="A19" s="11" t="str">
        <x:v>Repository license notes</x:v>
      </x:c>
      <x:c r="B19" s="8" t="str">
        <x:v>See docs/SOURCES_AND_LICENSES.md in the release repository</x:v>
      </x:c>
    </x:row>
  </x:sheetData>
  <x:mergeCells>
    <x:mergeCell ref="A1:F1"/>
    <x:mergeCell ref="A15:F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9" hidden="0" customWidth="1"/>
    <x:col min="4" max="4" width="9" hidden="0" customWidth="1"/>
    <x:col min="5" max="5" width="9" hidden="0" customWidth="1"/>
    <x:col min="6" max="6" width="10" hidden="0" customWidth="1"/>
    <x:col min="7" max="7" width="10" hidden="0" customWidth="1"/>
    <x:col min="8" max="8" width="12" hidden="0" customWidth="1"/>
    <x:col min="9" max="9" width="16" hidden="0" customWidth="1"/>
    <x:col min="10" max="10" width="16" hidden="0" customWidth="1"/>
    <x:col min="11" max="11" width="9.329999923706055" hidden="0" customWidth="1"/>
    <x:col min="12" max="12" width="15" hidden="0" customWidth="1"/>
  </x:cols>
  <x:sheetData>
    <x:row r="1" ht="19.200000762939453" hidden="0" customHeight="1">
      <x:c r="A1" s="40" t="str">
        <x:v>Aggregate baseline and control results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</x:row>
    <x:row r="2" ht="15" hidden="0" customHeight="1">
      <x:c r="A2" s="33" t="str">
        <x:v>All thresholds were selected on dev and applied unchanged to test.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</x:row>
    <x:row r="3" ht="15" hidden="0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</x:row>
    <x:row r="4" ht="24" hidden="0" customHeight="1">
      <x:c r="A4" s="41" t="str">
        <x:v>Configuration</x:v>
      </x:c>
      <x:c r="B4" s="42" t="str">
        <x:v>Split</x:v>
      </x:c>
      <x:c r="C4" s="42" t="str">
        <x:v>Pairs</x:v>
      </x:c>
      <x:c r="D4" s="42" t="str">
        <x:v>Positive</x:v>
      </x:c>
      <x:c r="E4" s="42" t="str">
        <x:v>Negative</x:v>
      </x:c>
      <x:c r="F4" s="42" t="str">
        <x:v>AUROC</x:v>
      </x:c>
      <x:c r="G4" s="42" t="str">
        <x:v>PR-AUC</x:v>
      </x:c>
      <x:c r="H4" s="42" t="str">
        <x:v>F1 locked</x:v>
      </x:c>
      <x:c r="I4" s="42" t="str">
        <x:v>FMR at locked 90%</x:v>
      </x:c>
      <x:c r="J4" s="42" t="str">
        <x:v>Achieved recall</x:v>
      </x:c>
      <x:c r="K4" s="42" t="str">
        <x:v>F1 threshold</x:v>
      </x:c>
      <x:c r="L4" s="43" t="str">
        <x:v>90% recall threshold</x:v>
      </x:c>
    </x:row>
    <x:row r="5" ht="15" hidden="0" customHeight="1">
      <x:c r="A5" s="37" t="str">
        <x:v>A_rgb_only</x:v>
      </x:c>
      <x:c r="B5" s="37" t="str">
        <x:v>dev</x:v>
      </x:c>
      <x:c r="C5" s="37" t="n">
        <x:v>2000</x:v>
      </x:c>
      <x:c r="D5" s="37" t="n">
        <x:v>1000</x:v>
      </x:c>
      <x:c r="E5" s="37" t="n">
        <x:v>1000</x:v>
      </x:c>
      <x:c r="F5" s="44" t="n">
        <x:v>0.747391</x:v>
      </x:c>
      <x:c r="G5" s="44" t="n">
        <x:v>0.724775702646</x:v>
      </x:c>
      <x:c r="H5" s="44" t="n">
        <x:v>0.72389380531</x:v>
      </x:c>
      <x:c r="I5" s="44" t="n">
        <x:v>0.609</x:v>
      </x:c>
      <x:c r="J5" s="44" t="n">
        <x:v>0.9</x:v>
      </x:c>
      <x:c r="K5" s="44" t="n">
        <x:v>0.4627167893231564</x:v>
      </x:c>
      <x:c r="L5" s="44" t="n">
        <x:v>0.3700743525780599</x:v>
      </x:c>
    </x:row>
    <x:row r="6" ht="15" hidden="0" customHeight="1">
      <x:c r="A6" s="38" t="str">
        <x:v>A_rgb_only</x:v>
      </x:c>
      <x:c r="B6" s="38" t="str">
        <x:v>test</x:v>
      </x:c>
      <x:c r="C6" s="38" t="n">
        <x:v>2000</x:v>
      </x:c>
      <x:c r="D6" s="38" t="n">
        <x:v>1000</x:v>
      </x:c>
      <x:c r="E6" s="38" t="n">
        <x:v>1000</x:v>
      </x:c>
      <x:c r="F6" s="45" t="n">
        <x:v>0.736519</x:v>
      </x:c>
      <x:c r="G6" s="45" t="n">
        <x:v>0.742481484351</x:v>
      </x:c>
      <x:c r="H6" s="45" t="n">
        <x:v>0.683568075117</x:v>
      </x:c>
      <x:c r="I6" s="45" t="n">
        <x:v>0.563</x:v>
      </x:c>
      <x:c r="J6" s="45" t="n">
        <x:v>0.847</x:v>
      </x:c>
      <x:c r="K6" s="45" t="n">
        <x:v>0.4627167893231564</x:v>
      </x:c>
      <x:c r="L6" s="45" t="n">
        <x:v>0.3700743525780599</x:v>
      </x:c>
    </x:row>
    <x:row r="7" ht="15" hidden="0" customHeight="1">
      <x:c r="A7" s="38" t="str">
        <x:v>B_rgb_2d</x:v>
      </x:c>
      <x:c r="B7" s="38" t="str">
        <x:v>dev</x:v>
      </x:c>
      <x:c r="C7" s="38" t="n">
        <x:v>2000</x:v>
      </x:c>
      <x:c r="D7" s="38" t="n">
        <x:v>1000</x:v>
      </x:c>
      <x:c r="E7" s="38" t="n">
        <x:v>1000</x:v>
      </x:c>
      <x:c r="F7" s="45" t="n">
        <x:v>0.835894</x:v>
      </x:c>
      <x:c r="G7" s="45" t="n">
        <x:v>0.823597101665</x:v>
      </x:c>
      <x:c r="H7" s="45" t="n">
        <x:v>0.775545104746</x:v>
      </x:c>
      <x:c r="I7" s="45" t="n">
        <x:v>0.426</x:v>
      </x:c>
      <x:c r="J7" s="45" t="n">
        <x:v>0.9</x:v>
      </x:c>
      <x:c r="K7" s="45" t="n">
        <x:v>0.43170553389623967</x:v>
      </x:c>
      <x:c r="L7" s="45" t="n">
        <x:v>0.4376130904969784</x:v>
      </x:c>
    </x:row>
    <x:row r="8" ht="15" hidden="0" customHeight="1">
      <x:c r="A8" s="38" t="str">
        <x:v>B_rgb_2d</x:v>
      </x:c>
      <x:c r="B8" s="38" t="str">
        <x:v>test</x:v>
      </x:c>
      <x:c r="C8" s="38" t="n">
        <x:v>2000</x:v>
      </x:c>
      <x:c r="D8" s="38" t="n">
        <x:v>1000</x:v>
      </x:c>
      <x:c r="E8" s="38" t="n">
        <x:v>1000</x:v>
      </x:c>
      <x:c r="F8" s="45" t="n">
        <x:v>0.827765</x:v>
      </x:c>
      <x:c r="G8" s="45" t="n">
        <x:v>0.809096333946</x:v>
      </x:c>
      <x:c r="H8" s="45" t="n">
        <x:v>0.762803234501</x:v>
      </x:c>
      <x:c r="I8" s="45" t="n">
        <x:v>0.374</x:v>
      </x:c>
      <x:c r="J8" s="45" t="n">
        <x:v>0.845</x:v>
      </x:c>
      <x:c r="K8" s="45" t="n">
        <x:v>0.43170553389623967</x:v>
      </x:c>
      <x:c r="L8" s="45" t="n">
        <x:v>0.4376130904969784</x:v>
      </x:c>
    </x:row>
    <x:row r="9" ht="15" hidden="0" customHeight="1">
      <x:c r="A9" s="38" t="str">
        <x:v>C_rgb_2d_3d</x:v>
      </x:c>
      <x:c r="B9" s="38" t="str">
        <x:v>dev</x:v>
      </x:c>
      <x:c r="C9" s="38" t="n">
        <x:v>2000</x:v>
      </x:c>
      <x:c r="D9" s="38" t="n">
        <x:v>1000</x:v>
      </x:c>
      <x:c r="E9" s="38" t="n">
        <x:v>1000</x:v>
      </x:c>
      <x:c r="F9" s="45" t="n">
        <x:v>0.881231</x:v>
      </x:c>
      <x:c r="G9" s="45" t="n">
        <x:v>0.870262217005</x:v>
      </x:c>
      <x:c r="H9" s="45" t="n">
        <x:v>0.820205479452</x:v>
      </x:c>
      <x:c r="I9" s="45" t="n">
        <x:v>0.312</x:v>
      </x:c>
      <x:c r="J9" s="45" t="n">
        <x:v>0.9</x:v>
      </x:c>
      <x:c r="K9" s="45" t="n">
        <x:v>0.37928010903953285</x:v>
      </x:c>
      <x:c r="L9" s="45" t="n">
        <x:v>0.5048223161175864</x:v>
      </x:c>
    </x:row>
    <x:row r="10" ht="15" hidden="0" customHeight="1">
      <x:c r="A10" s="38" t="str">
        <x:v>C_rgb_2d_3d</x:v>
      </x:c>
      <x:c r="B10" s="38" t="str">
        <x:v>test</x:v>
      </x:c>
      <x:c r="C10" s="38" t="n">
        <x:v>2000</x:v>
      </x:c>
      <x:c r="D10" s="38" t="n">
        <x:v>1000</x:v>
      </x:c>
      <x:c r="E10" s="38" t="n">
        <x:v>1000</x:v>
      </x:c>
      <x:c r="F10" s="45" t="n">
        <x:v>0.888436</x:v>
      </x:c>
      <x:c r="G10" s="45" t="n">
        <x:v>0.886447403405</x:v>
      </x:c>
      <x:c r="H10" s="45" t="n">
        <x:v>0.797757654161</x:v>
      </x:c>
      <x:c r="I10" s="45" t="n">
        <x:v>0.295</x:v>
      </x:c>
      <x:c r="J10" s="45" t="n">
        <x:v>0.869</x:v>
      </x:c>
      <x:c r="K10" s="45" t="n">
        <x:v>0.37928010903953285</x:v>
      </x:c>
      <x:c r="L10" s="45" t="n">
        <x:v>0.5048223161175864</x:v>
      </x:c>
    </x:row>
    <x:row r="11" ht="15" hidden="0" customHeight="1">
      <x:c r="A11" s="38" t="str">
        <x:v>geometry_only</x:v>
      </x:c>
      <x:c r="B11" s="38" t="str">
        <x:v>dev</x:v>
      </x:c>
      <x:c r="C11" s="38" t="n">
        <x:v>2000</x:v>
      </x:c>
      <x:c r="D11" s="38" t="n">
        <x:v>1000</x:v>
      </x:c>
      <x:c r="E11" s="38" t="n">
        <x:v>1000</x:v>
      </x:c>
      <x:c r="F11" s="45" t="n">
        <x:v>0.863949</x:v>
      </x:c>
      <x:c r="G11" s="45" t="n">
        <x:v>0.856980224802</x:v>
      </x:c>
      <x:c r="H11" s="45" t="n">
        <x:v>0.795661605206</x:v>
      </x:c>
      <x:c r="I11" s="45" t="n">
        <x:v>0.372</x:v>
      </x:c>
      <x:c r="J11" s="45" t="n">
        <x:v>0.9</x:v>
      </x:c>
      <x:c r="K11" s="45" t="n">
        <x:v>0.45117200198761054</x:v>
      </x:c>
      <x:c r="L11" s="45" t="n">
        <x:v>0.473062580975553</x:v>
      </x:c>
    </x:row>
    <x:row r="12" ht="15" hidden="0" customHeight="1">
      <x:c r="A12" s="39" t="str">
        <x:v>geometry_only</x:v>
      </x:c>
      <x:c r="B12" s="39" t="str">
        <x:v>test</x:v>
      </x:c>
      <x:c r="C12" s="39" t="n">
        <x:v>2000</x:v>
      </x:c>
      <x:c r="D12" s="39" t="n">
        <x:v>1000</x:v>
      </x:c>
      <x:c r="E12" s="39" t="n">
        <x:v>1000</x:v>
      </x:c>
      <x:c r="F12" s="46" t="n">
        <x:v>0.865357</x:v>
      </x:c>
      <x:c r="G12" s="46" t="n">
        <x:v>0.853473530383</x:v>
      </x:c>
      <x:c r="H12" s="46" t="n">
        <x:v>0.798769771529</x:v>
      </x:c>
      <x:c r="I12" s="46" t="n">
        <x:v>0.355</x:v>
      </x:c>
      <x:c r="J12" s="46" t="n">
        <x:v>0.904</x:v>
      </x:c>
      <x:c r="K12" s="46" t="n">
        <x:v>0.45117200198761054</x:v>
      </x:c>
      <x:c r="L12" s="46" t="n">
        <x:v>0.473062580975553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9.109999656677246" hidden="0" customWidth="1"/>
    <x:col min="4" max="4" width="11.890000343322754" hidden="0" customWidth="1"/>
    <x:col min="5" max="5" width="9.890000343322754" hidden="0" customWidth="1"/>
    <x:col min="6" max="6" width="9.109999656677246" hidden="0" customWidth="1"/>
    <x:col min="7" max="7" width="9.109999656677246" hidden="0" customWidth="1"/>
    <x:col min="8" max="8" width="11" hidden="0" customWidth="1"/>
    <x:col min="9" max="9" width="38" hidden="0" customWidth="1"/>
    <x:col min="10" max="10" width="12" hidden="0" customWidth="1"/>
  </x:cols>
  <x:sheetData>
    <x:row r="1" ht="19.200000762939453" hidden="0" customHeight="1">
      <x:c r="A1" s="40" t="str">
        <x:v>Video-cluster bootstrap confidence intervals</x:v>
      </x:c>
      <x:c r="B1" s="32"/>
      <x:c r="C1" s="32"/>
      <x:c r="D1" s="32"/>
      <x:c r="E1" s="32"/>
      <x:c r="F1" s="32"/>
      <x:c r="G1" s="32"/>
      <x:c r="H1" s="32"/>
      <x:c r="I1" s="32"/>
      <x:c r="J1" s="32"/>
    </x:row>
    <x:row r="2" ht="15" hidden="0" customHeight="1">
      <x:c r="A2" s="33" t="str">
        <x:v>Two-sided percentile intervals from 10,000 resamples of the 10 test-video clusters.</x:v>
      </x:c>
      <x:c r="B2" s="32"/>
      <x:c r="C2" s="32"/>
      <x:c r="D2" s="32"/>
      <x:c r="E2" s="32"/>
      <x:c r="F2" s="32"/>
      <x:c r="G2" s="32"/>
      <x:c r="H2" s="32"/>
      <x:c r="I2" s="32"/>
      <x:c r="J2" s="32"/>
    </x:row>
    <x:row r="3" ht="15" hidden="0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</x:row>
    <x:row r="4" ht="15" hidden="0" customHeight="1">
      <x:c r="A4" s="41" t="str">
        <x:v>Configuration</x:v>
      </x:c>
      <x:c r="B4" s="42" t="str">
        <x:v>Metric</x:v>
      </x:c>
      <x:c r="C4" s="42" t="str">
        <x:v>Point</x:v>
      </x:c>
      <x:c r="D4" s="42" t="str">
        <x:v>Bootstrap mean</x:v>
      </x:c>
      <x:c r="E4" s="42" t="str">
        <x:v>Bootstrap SE</x:v>
      </x:c>
      <x:c r="F4" s="42" t="str">
        <x:v>CI lower</x:v>
      </x:c>
      <x:c r="G4" s="42" t="str">
        <x:v>CI upper</x:v>
      </x:c>
      <x:c r="H4" s="42" t="str">
        <x:v>Level</x:v>
      </x:c>
      <x:c r="I4" s="42" t="str">
        <x:v>Method</x:v>
      </x:c>
      <x:c r="J4" s="43" t="str">
        <x:v>Replicates</x:v>
      </x:c>
    </x:row>
    <x:row r="5" ht="15" hidden="0" customHeight="1">
      <x:c r="A5" s="37" t="str">
        <x:v>A_rgb_only</x:v>
      </x:c>
      <x:c r="B5" s="37" t="str">
        <x:v>auroc</x:v>
      </x:c>
      <x:c r="C5" s="44" t="n">
        <x:v>0.736519</x:v>
      </x:c>
      <x:c r="D5" s="44" t="n">
        <x:v>0.737654144937</x:v>
      </x:c>
      <x:c r="E5" s="44" t="n">
        <x:v>0.02928986891</x:v>
      </x:c>
      <x:c r="F5" s="44" t="n">
        <x:v>0.683373105386</x:v>
      </x:c>
      <x:c r="G5" s="44" t="n">
        <x:v>0.797236493344</x:v>
      </x:c>
      <x:c r="H5" s="44" t="n">
        <x:v>0.95</x:v>
      </x:c>
      <x:c r="I5" s="37" t="str">
        <x:v>percentile video-cluster bootstrap</x:v>
      </x:c>
      <x:c r="J5" s="47" t="n">
        <x:v>10000</x:v>
      </x:c>
    </x:row>
    <x:row r="6" ht="15" hidden="0" customHeight="1">
      <x:c r="A6" s="38" t="str">
        <x:v>A_rgb_only</x:v>
      </x:c>
      <x:c r="B6" s="38" t="str">
        <x:v>pr_auc</x:v>
      </x:c>
      <x:c r="C6" s="45" t="n">
        <x:v>0.742481484351</x:v>
      </x:c>
      <x:c r="D6" s="45" t="n">
        <x:v>0.745648788144</x:v>
      </x:c>
      <x:c r="E6" s="45" t="n">
        <x:v>0.044668145143</x:v>
      </x:c>
      <x:c r="F6" s="45" t="n">
        <x:v>0.663065076251</x:v>
      </x:c>
      <x:c r="G6" s="45" t="n">
        <x:v>0.837075567291</x:v>
      </x:c>
      <x:c r="H6" s="45" t="n">
        <x:v>0.95</x:v>
      </x:c>
      <x:c r="I6" s="38" t="str">
        <x:v>percentile video-cluster bootstrap</x:v>
      </x:c>
      <x:c r="J6" s="48" t="n">
        <x:v>10000</x:v>
      </x:c>
    </x:row>
    <x:row r="7" ht="15" hidden="0" customHeight="1">
      <x:c r="A7" s="38" t="str">
        <x:v>A_rgb_only</x:v>
      </x:c>
      <x:c r="B7" s="38" t="str">
        <x:v>f1_at_locked_threshold</x:v>
      </x:c>
      <x:c r="C7" s="45" t="n">
        <x:v>0.683568075117</x:v>
      </x:c>
      <x:c r="D7" s="45" t="n">
        <x:v>0.684414527204</x:v>
      </x:c>
      <x:c r="E7" s="45" t="n">
        <x:v>0.030659974722</x:v>
      </x:c>
      <x:c r="F7" s="45" t="n">
        <x:v>0.626362672663</x:v>
      </x:c>
      <x:c r="G7" s="45" t="n">
        <x:v>0.745160541466</x:v>
      </x:c>
      <x:c r="H7" s="45" t="n">
        <x:v>0.95</x:v>
      </x:c>
      <x:c r="I7" s="38" t="str">
        <x:v>percentile video-cluster bootstrap</x:v>
      </x:c>
      <x:c r="J7" s="48" t="n">
        <x:v>10000</x:v>
      </x:c>
    </x:row>
    <x:row r="8" ht="15" hidden="0" customHeight="1">
      <x:c r="A8" s="38" t="str">
        <x:v>A_rgb_only</x:v>
      </x:c>
      <x:c r="B8" s="38" t="str">
        <x:v>false_match_rate_at_locked_90_recall_threshold</x:v>
      </x:c>
      <x:c r="C8" s="45" t="n">
        <x:v>0.563</x:v>
      </x:c>
      <x:c r="D8" s="45" t="n">
        <x:v>0.559383613022</x:v>
      </x:c>
      <x:c r="E8" s="45" t="n">
        <x:v>0.043944325241</x:v>
      </x:c>
      <x:c r="F8" s="45" t="n">
        <x:v>0.466291722956</x:v>
      </x:c>
      <x:c r="G8" s="45" t="n">
        <x:v>0.636363636364</x:v>
      </x:c>
      <x:c r="H8" s="45" t="n">
        <x:v>0.95</x:v>
      </x:c>
      <x:c r="I8" s="38" t="str">
        <x:v>percentile video-cluster bootstrap</x:v>
      </x:c>
      <x:c r="J8" s="48" t="n">
        <x:v>10000</x:v>
      </x:c>
    </x:row>
    <x:row r="9" ht="15" hidden="0" customHeight="1">
      <x:c r="A9" s="38" t="str">
        <x:v>A_rgb_only</x:v>
      </x:c>
      <x:c r="B9" s="38" t="str">
        <x:v>achieved_recall_at_locked_90_recall_threshold</x:v>
      </x:c>
      <x:c r="C9" s="45" t="n">
        <x:v>0.847</x:v>
      </x:c>
      <x:c r="D9" s="45" t="n">
        <x:v>0.8470932</x:v>
      </x:c>
      <x:c r="E9" s="45" t="n">
        <x:v>0.015606218926</x:v>
      </x:c>
      <x:c r="F9" s="45" t="n">
        <x:v>0.816</x:v>
      </x:c>
      <x:c r="G9" s="45" t="n">
        <x:v>0.877</x:v>
      </x:c>
      <x:c r="H9" s="45" t="n">
        <x:v>0.95</x:v>
      </x:c>
      <x:c r="I9" s="38" t="str">
        <x:v>percentile video-cluster bootstrap</x:v>
      </x:c>
      <x:c r="J9" s="48" t="n">
        <x:v>10000</x:v>
      </x:c>
    </x:row>
    <x:row r="10" ht="15" hidden="0" customHeight="1">
      <x:c r="A10" s="38" t="str">
        <x:v>B_rgb_2d</x:v>
      </x:c>
      <x:c r="B10" s="38" t="str">
        <x:v>auroc</x:v>
      </x:c>
      <x:c r="C10" s="45" t="n">
        <x:v>0.827765</x:v>
      </x:c>
      <x:c r="D10" s="45" t="n">
        <x:v>0.828035174437</x:v>
      </x:c>
      <x:c r="E10" s="45" t="n">
        <x:v>0.020607601892</x:v>
      </x:c>
      <x:c r="F10" s="45" t="n">
        <x:v>0.787260474634</x:v>
      </x:c>
      <x:c r="G10" s="45" t="n">
        <x:v>0.868415235479</x:v>
      </x:c>
      <x:c r="H10" s="45" t="n">
        <x:v>0.95</x:v>
      </x:c>
      <x:c r="I10" s="38" t="str">
        <x:v>percentile video-cluster bootstrap</x:v>
      </x:c>
      <x:c r="J10" s="48" t="n">
        <x:v>10000</x:v>
      </x:c>
    </x:row>
    <x:row r="11" ht="15" hidden="0" customHeight="1">
      <x:c r="A11" s="38" t="str">
        <x:v>B_rgb_2d</x:v>
      </x:c>
      <x:c r="B11" s="38" t="str">
        <x:v>pr_auc</x:v>
      </x:c>
      <x:c r="C11" s="45" t="n">
        <x:v>0.809096333946</x:v>
      </x:c>
      <x:c r="D11" s="45" t="n">
        <x:v>0.810308925779</x:v>
      </x:c>
      <x:c r="E11" s="45" t="n">
        <x:v>0.030896010875</x:v>
      </x:c>
      <x:c r="F11" s="45" t="n">
        <x:v>0.750807911298</x:v>
      </x:c>
      <x:c r="G11" s="45" t="n">
        <x:v>0.871621117307</x:v>
      </x:c>
      <x:c r="H11" s="45" t="n">
        <x:v>0.95</x:v>
      </x:c>
      <x:c r="I11" s="38" t="str">
        <x:v>percentile video-cluster bootstrap</x:v>
      </x:c>
      <x:c r="J11" s="48" t="n">
        <x:v>10000</x:v>
      </x:c>
    </x:row>
    <x:row r="12" ht="15" hidden="0" customHeight="1">
      <x:c r="A12" s="38" t="str">
        <x:v>B_rgb_2d</x:v>
      </x:c>
      <x:c r="B12" s="38" t="str">
        <x:v>f1_at_locked_threshold</x:v>
      </x:c>
      <x:c r="C12" s="45" t="n">
        <x:v>0.762803234501</x:v>
      </x:c>
      <x:c r="D12" s="45" t="n">
        <x:v>0.763243159262</x:v>
      </x:c>
      <x:c r="E12" s="45" t="n">
        <x:v>0.023718598965</x:v>
      </x:c>
      <x:c r="F12" s="45" t="n">
        <x:v>0.716694772344</x:v>
      </x:c>
      <x:c r="G12" s="45" t="n">
        <x:v>0.808572397887</x:v>
      </x:c>
      <x:c r="H12" s="45" t="n">
        <x:v>0.95</x:v>
      </x:c>
      <x:c r="I12" s="38" t="str">
        <x:v>percentile video-cluster bootstrap</x:v>
      </x:c>
      <x:c r="J12" s="48" t="n">
        <x:v>10000</x:v>
      </x:c>
    </x:row>
    <x:row r="13" ht="15" hidden="0" customHeight="1">
      <x:c r="A13" s="38" t="str">
        <x:v>B_rgb_2d</x:v>
      </x:c>
      <x:c r="B13" s="38" t="str">
        <x:v>false_match_rate_at_locked_90_recall_threshold</x:v>
      </x:c>
      <x:c r="C13" s="45" t="n">
        <x:v>0.374</x:v>
      </x:c>
      <x:c r="D13" s="45" t="n">
        <x:v>0.373345537804</x:v>
      </x:c>
      <x:c r="E13" s="45" t="n">
        <x:v>0.052138784352</x:v>
      </x:c>
      <x:c r="F13" s="45" t="n">
        <x:v>0.269817517676</x:v>
      </x:c>
      <x:c r="G13" s="45" t="n">
        <x:v>0.472870835952</x:v>
      </x:c>
      <x:c r="H13" s="45" t="n">
        <x:v>0.95</x:v>
      </x:c>
      <x:c r="I13" s="38" t="str">
        <x:v>percentile video-cluster bootstrap</x:v>
      </x:c>
      <x:c r="J13" s="48" t="n">
        <x:v>10000</x:v>
      </x:c>
    </x:row>
    <x:row r="14" ht="15" hidden="0" customHeight="1">
      <x:c r="A14" s="38" t="str">
        <x:v>B_rgb_2d</x:v>
      </x:c>
      <x:c r="B14" s="38" t="str">
        <x:v>achieved_recall_at_locked_90_recall_threshold</x:v>
      </x:c>
      <x:c r="C14" s="45" t="n">
        <x:v>0.845</x:v>
      </x:c>
      <x:c r="D14" s="45" t="n">
        <x:v>0.8449393</x:v>
      </x:c>
      <x:c r="E14" s="45" t="n">
        <x:v>0.013434912177</x:v>
      </x:c>
      <x:c r="F14" s="45" t="n">
        <x:v>0.821</x:v>
      </x:c>
      <x:c r="G14" s="45" t="n">
        <x:v>0.872</x:v>
      </x:c>
      <x:c r="H14" s="45" t="n">
        <x:v>0.95</x:v>
      </x:c>
      <x:c r="I14" s="38" t="str">
        <x:v>percentile video-cluster bootstrap</x:v>
      </x:c>
      <x:c r="J14" s="48" t="n">
        <x:v>10000</x:v>
      </x:c>
    </x:row>
    <x:row r="15" ht="15" hidden="0" customHeight="1">
      <x:c r="A15" s="38" t="str">
        <x:v>C_rgb_2d_3d</x:v>
      </x:c>
      <x:c r="B15" s="38" t="str">
        <x:v>auroc</x:v>
      </x:c>
      <x:c r="C15" s="45" t="n">
        <x:v>0.888436</x:v>
      </x:c>
      <x:c r="D15" s="45" t="n">
        <x:v>0.88878682016</x:v>
      </x:c>
      <x:c r="E15" s="45" t="n">
        <x:v>0.020462928011</x:v>
      </x:c>
      <x:c r="F15" s="45" t="n">
        <x:v>0.846931566204</x:v>
      </x:c>
      <x:c r="G15" s="45" t="n">
        <x:v>0.927054948127</x:v>
      </x:c>
      <x:c r="H15" s="45" t="n">
        <x:v>0.95</x:v>
      </x:c>
      <x:c r="I15" s="38" t="str">
        <x:v>percentile video-cluster bootstrap</x:v>
      </x:c>
      <x:c r="J15" s="48" t="n">
        <x:v>10000</x:v>
      </x:c>
    </x:row>
    <x:row r="16" ht="15" hidden="0" customHeight="1">
      <x:c r="A16" s="38" t="str">
        <x:v>C_rgb_2d_3d</x:v>
      </x:c>
      <x:c r="B16" s="38" t="str">
        <x:v>pr_auc</x:v>
      </x:c>
      <x:c r="C16" s="45" t="n">
        <x:v>0.886447403405</x:v>
      </x:c>
      <x:c r="D16" s="45" t="n">
        <x:v>0.886521741922</x:v>
      </x:c>
      <x:c r="E16" s="45" t="n">
        <x:v>0.027655726171</x:v>
      </x:c>
      <x:c r="F16" s="45" t="n">
        <x:v>0.828066404869</x:v>
      </x:c>
      <x:c r="G16" s="45" t="n">
        <x:v>0.935466395676</x:v>
      </x:c>
      <x:c r="H16" s="45" t="n">
        <x:v>0.95</x:v>
      </x:c>
      <x:c r="I16" s="38" t="str">
        <x:v>percentile video-cluster bootstrap</x:v>
      </x:c>
      <x:c r="J16" s="48" t="n">
        <x:v>10000</x:v>
      </x:c>
    </x:row>
    <x:row r="17" ht="15" hidden="0" customHeight="1">
      <x:c r="A17" s="38" t="str">
        <x:v>C_rgb_2d_3d</x:v>
      </x:c>
      <x:c r="B17" s="38" t="str">
        <x:v>f1_at_locked_threshold</x:v>
      </x:c>
      <x:c r="C17" s="45" t="n">
        <x:v>0.797757654161</x:v>
      </x:c>
      <x:c r="D17" s="45" t="n">
        <x:v>0.798327040527</x:v>
      </x:c>
      <x:c r="E17" s="45" t="n">
        <x:v>0.026719172673</x:v>
      </x:c>
      <x:c r="F17" s="45" t="n">
        <x:v>0.745143829152</x:v>
      </x:c>
      <x:c r="G17" s="45" t="n">
        <x:v>0.848732652034</x:v>
      </x:c>
      <x:c r="H17" s="45" t="n">
        <x:v>0.95</x:v>
      </x:c>
      <x:c r="I17" s="38" t="str">
        <x:v>percentile video-cluster bootstrap</x:v>
      </x:c>
      <x:c r="J17" s="48" t="n">
        <x:v>10000</x:v>
      </x:c>
    </x:row>
    <x:row r="18" ht="15" hidden="0" customHeight="1">
      <x:c r="A18" s="38" t="str">
        <x:v>C_rgb_2d_3d</x:v>
      </x:c>
      <x:c r="B18" s="38" t="str">
        <x:v>false_match_rate_at_locked_90_recall_threshold</x:v>
      </x:c>
      <x:c r="C18" s="45" t="n">
        <x:v>0.295</x:v>
      </x:c>
      <x:c r="D18" s="45" t="n">
        <x:v>0.294148052856</x:v>
      </x:c>
      <x:c r="E18" s="45" t="n">
        <x:v>0.040610448491</x:v>
      </x:c>
      <x:c r="F18" s="45" t="n">
        <x:v>0.208829565423</x:v>
      </x:c>
      <x:c r="G18" s="45" t="n">
        <x:v>0.367704763901</x:v>
      </x:c>
      <x:c r="H18" s="45" t="n">
        <x:v>0.95</x:v>
      </x:c>
      <x:c r="I18" s="38" t="str">
        <x:v>percentile video-cluster bootstrap</x:v>
      </x:c>
      <x:c r="J18" s="48" t="n">
        <x:v>10000</x:v>
      </x:c>
    </x:row>
    <x:row r="19" ht="15" hidden="0" customHeight="1">
      <x:c r="A19" s="38" t="str">
        <x:v>C_rgb_2d_3d</x:v>
      </x:c>
      <x:c r="B19" s="38" t="str">
        <x:v>achieved_recall_at_locked_90_recall_threshold</x:v>
      </x:c>
      <x:c r="C19" s="45" t="n">
        <x:v>0.869</x:v>
      </x:c>
      <x:c r="D19" s="45" t="n">
        <x:v>0.8692122</x:v>
      </x:c>
      <x:c r="E19" s="45" t="n">
        <x:v>0.019032209374</x:v>
      </x:c>
      <x:c r="F19" s="45" t="n">
        <x:v>0.831</x:v>
      </x:c>
      <x:c r="G19" s="45" t="n">
        <x:v>0.905</x:v>
      </x:c>
      <x:c r="H19" s="45" t="n">
        <x:v>0.95</x:v>
      </x:c>
      <x:c r="I19" s="38" t="str">
        <x:v>percentile video-cluster bootstrap</x:v>
      </x:c>
      <x:c r="J19" s="48" t="n">
        <x:v>10000</x:v>
      </x:c>
    </x:row>
    <x:row r="20" ht="15" hidden="0" customHeight="1">
      <x:c r="A20" s="38" t="str">
        <x:v>geometry_only</x:v>
      </x:c>
      <x:c r="B20" s="38" t="str">
        <x:v>auroc</x:v>
      </x:c>
      <x:c r="C20" s="45" t="n">
        <x:v>0.865357</x:v>
      </x:c>
      <x:c r="D20" s="45" t="n">
        <x:v>0.865480878821</x:v>
      </x:c>
      <x:c r="E20" s="45" t="n">
        <x:v>0.021455490558</x:v>
      </x:c>
      <x:c r="F20" s="45" t="n">
        <x:v>0.824877408056</x:v>
      </x:c>
      <x:c r="G20" s="45" t="n">
        <x:v>0.908546683588</x:v>
      </x:c>
      <x:c r="H20" s="45" t="n">
        <x:v>0.95</x:v>
      </x:c>
      <x:c r="I20" s="38" t="str">
        <x:v>percentile video-cluster bootstrap</x:v>
      </x:c>
      <x:c r="J20" s="48" t="n">
        <x:v>10000</x:v>
      </x:c>
    </x:row>
    <x:row r="21" ht="15" hidden="0" customHeight="1">
      <x:c r="A21" s="38" t="str">
        <x:v>geometry_only</x:v>
      </x:c>
      <x:c r="B21" s="38" t="str">
        <x:v>pr_auc</x:v>
      </x:c>
      <x:c r="C21" s="45" t="n">
        <x:v>0.853473530383</x:v>
      </x:c>
      <x:c r="D21" s="45" t="n">
        <x:v>0.854025794518</x:v>
      </x:c>
      <x:c r="E21" s="45" t="n">
        <x:v>0.027942576265</x:v>
      </x:c>
      <x:c r="F21" s="45" t="n">
        <x:v>0.7957612747</x:v>
      </x:c>
      <x:c r="G21" s="45" t="n">
        <x:v>0.905927719604</x:v>
      </x:c>
      <x:c r="H21" s="45" t="n">
        <x:v>0.95</x:v>
      </x:c>
      <x:c r="I21" s="38" t="str">
        <x:v>percentile video-cluster bootstrap</x:v>
      </x:c>
      <x:c r="J21" s="48" t="n">
        <x:v>10000</x:v>
      </x:c>
    </x:row>
    <x:row r="22" ht="15" hidden="0" customHeight="1">
      <x:c r="A22" s="38" t="str">
        <x:v>geometry_only</x:v>
      </x:c>
      <x:c r="B22" s="38" t="str">
        <x:v>f1_at_locked_threshold</x:v>
      </x:c>
      <x:c r="C22" s="45" t="n">
        <x:v>0.798769771529</x:v>
      </x:c>
      <x:c r="D22" s="45" t="n">
        <x:v>0.799399581837</x:v>
      </x:c>
      <x:c r="E22" s="45" t="n">
        <x:v>0.025392169146</x:v>
      </x:c>
      <x:c r="F22" s="45" t="n">
        <x:v>0.749028077754</x:v>
      </x:c>
      <x:c r="G22" s="45" t="n">
        <x:v>0.848154640408</x:v>
      </x:c>
      <x:c r="H22" s="45" t="n">
        <x:v>0.95</x:v>
      </x:c>
      <x:c r="I22" s="38" t="str">
        <x:v>percentile video-cluster bootstrap</x:v>
      </x:c>
      <x:c r="J22" s="48" t="n">
        <x:v>10000</x:v>
      </x:c>
    </x:row>
    <x:row r="23" ht="15" hidden="0" customHeight="1">
      <x:c r="A23" s="38" t="str">
        <x:v>geometry_only</x:v>
      </x:c>
      <x:c r="B23" s="38" t="str">
        <x:v>false_match_rate_at_locked_90_recall_threshold</x:v>
      </x:c>
      <x:c r="C23" s="45" t="n">
        <x:v>0.355</x:v>
      </x:c>
      <x:c r="D23" s="45" t="n">
        <x:v>0.354364129679</x:v>
      </x:c>
      <x:c r="E23" s="45" t="n">
        <x:v>0.048173601355</x:v>
      </x:c>
      <x:c r="F23" s="45" t="n">
        <x:v>0.255433058438</x:v>
      </x:c>
      <x:c r="G23" s="45" t="n">
        <x:v>0.442935751129</x:v>
      </x:c>
      <x:c r="H23" s="45" t="n">
        <x:v>0.95</x:v>
      </x:c>
      <x:c r="I23" s="38" t="str">
        <x:v>percentile video-cluster bootstrap</x:v>
      </x:c>
      <x:c r="J23" s="48" t="n">
        <x:v>10000</x:v>
      </x:c>
    </x:row>
    <x:row r="24" ht="15" hidden="0" customHeight="1">
      <x:c r="A24" s="39" t="str">
        <x:v>geometry_only</x:v>
      </x:c>
      <x:c r="B24" s="39" t="str">
        <x:v>achieved_recall_at_locked_90_recall_threshold</x:v>
      </x:c>
      <x:c r="C24" s="46" t="n">
        <x:v>0.904</x:v>
      </x:c>
      <x:c r="D24" s="46" t="n">
        <x:v>0.9042134</x:v>
      </x:c>
      <x:c r="E24" s="46" t="n">
        <x:v>0.018216510219</x:v>
      </x:c>
      <x:c r="F24" s="46" t="n">
        <x:v>0.868</x:v>
      </x:c>
      <x:c r="G24" s="46" t="n">
        <x:v>0.939</x:v>
      </x:c>
      <x:c r="H24" s="46" t="n">
        <x:v>0.95</x:v>
      </x:c>
      <x:c r="I24" s="39" t="str">
        <x:v>percentile video-cluster bootstrap</x:v>
      </x:c>
      <x:c r="J24" s="49" t="n">
        <x:v>10000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36" hidden="0" customWidth="1"/>
    <x:col min="4" max="4" width="11" hidden="0" customWidth="1"/>
    <x:col min="5" max="5" width="24" hidden="0" customWidth="1"/>
    <x:col min="6" max="6" width="9.109999656677246" hidden="0" customWidth="1"/>
    <x:col min="7" max="7" width="9.779999732971191" hidden="0" customWidth="1"/>
    <x:col min="8" max="8" width="9.779999732971191" hidden="0" customWidth="1"/>
    <x:col min="9" max="9" width="9.779999732971191" hidden="0" customWidth="1"/>
    <x:col min="10" max="10" width="11" hidden="0" customWidth="1"/>
    <x:col min="11" max="11" width="38" hidden="0" customWidth="1"/>
    <x:col min="12" max="12" width="12" hidden="0" customWidth="1"/>
    <x:col min="13" max="13" width="14" hidden="0" customWidth="1"/>
  </x:cols>
  <x:sheetData>
    <x:row r="1" ht="19.200000762939453" hidden="0" customHeight="1">
      <x:c r="A1" s="40" t="str">
        <x:v>Primary paired B to C differences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</x:row>
    <x:row r="2" ht="15" hidden="0" customHeight="1">
      <x:c r="A2" s="33" t="str">
        <x:v>Delta is augmented minus baseline. Negative FMR is favorable; higher is favorable for other metrics.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</x:row>
    <x:row r="3" ht="15" hidden="0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</x:row>
    <x:row r="4" ht="15" hidden="0" customHeight="1">
      <x:c r="A4" s="41" t="str">
        <x:v>Baseline</x:v>
      </x:c>
      <x:c r="B4" s="42" t="str">
        <x:v>Augmented</x:v>
      </x:c>
      <x:c r="C4" s="42" t="str">
        <x:v>Metric</x:v>
      </x:c>
      <x:c r="D4" s="42" t="str">
        <x:v>Favorable</x:v>
      </x:c>
      <x:c r="E4" s="42" t="str">
        <x:v>Delta definition</x:v>
      </x:c>
      <x:c r="F4" s="42" t="str">
        <x:v>Point delta</x:v>
      </x:c>
      <x:c r="G4" s="42" t="str">
        <x:v>Mean delta</x:v>
      </x:c>
      <x:c r="H4" s="42" t="str">
        <x:v>CI lower</x:v>
      </x:c>
      <x:c r="I4" s="42" t="str">
        <x:v>CI upper</x:v>
      </x:c>
      <x:c r="J4" s="42" t="str">
        <x:v>Level</x:v>
      </x:c>
      <x:c r="K4" s="42" t="str">
        <x:v>Method</x:v>
      </x:c>
      <x:c r="L4" s="42" t="str">
        <x:v>Replicates</x:v>
      </x:c>
      <x:c r="M4" s="43" t="str">
        <x:v>Excludes zero</x:v>
      </x:c>
    </x:row>
    <x:row r="5" ht="15" hidden="0" customHeight="1">
      <x:c r="A5" s="37" t="str">
        <x:v>B_rgb_2d</x:v>
      </x:c>
      <x:c r="B5" s="37" t="str">
        <x:v>C_rgb_2d_3d</x:v>
      </x:c>
      <x:c r="C5" s="37" t="str">
        <x:v>auroc</x:v>
      </x:c>
      <x:c r="D5" s="37" t="str">
        <x:v>higher</x:v>
      </x:c>
      <x:c r="E5" s="37" t="str">
        <x:v>augmented_minus_baseline</x:v>
      </x:c>
      <x:c r="F5" s="44" t="n">
        <x:v>0.060671</x:v>
      </x:c>
      <x:c r="G5" s="44" t="n">
        <x:v>0.060751645723</x:v>
      </x:c>
      <x:c r="H5" s="44" t="n">
        <x:v>0.04271476785</x:v>
      </x:c>
      <x:c r="I5" s="44" t="n">
        <x:v>0.082230100927</x:v>
      </x:c>
      <x:c r="J5" s="44" t="n">
        <x:v>0.95</x:v>
      </x:c>
      <x:c r="K5" s="37" t="str">
        <x:v>paired percentile video-cluster bootstrap</x:v>
      </x:c>
      <x:c r="L5" s="37" t="n">
        <x:v>10000</x:v>
      </x:c>
      <x:c r="M5" s="57" t="b">
        <x:v>1</x:v>
      </x:c>
    </x:row>
    <x:row r="6" ht="15" hidden="0" customHeight="1">
      <x:c r="A6" s="38" t="str">
        <x:v>B_rgb_2d</x:v>
      </x:c>
      <x:c r="B6" s="38" t="str">
        <x:v>C_rgb_2d_3d</x:v>
      </x:c>
      <x:c r="C6" s="38" t="str">
        <x:v>pr_auc</x:v>
      </x:c>
      <x:c r="D6" s="38" t="str">
        <x:v>higher</x:v>
      </x:c>
      <x:c r="E6" s="38" t="str">
        <x:v>augmented_minus_baseline</x:v>
      </x:c>
      <x:c r="F6" s="45" t="n">
        <x:v>0.077351069459</x:v>
      </x:c>
      <x:c r="G6" s="45" t="n">
        <x:v>0.076212816143</x:v>
      </x:c>
      <x:c r="H6" s="45" t="n">
        <x:v>0.050300860448</x:v>
      </x:c>
      <x:c r="I6" s="45" t="n">
        <x:v>0.101461644973</x:v>
      </x:c>
      <x:c r="J6" s="45" t="n">
        <x:v>0.95</x:v>
      </x:c>
      <x:c r="K6" s="38" t="str">
        <x:v>paired percentile video-cluster bootstrap</x:v>
      </x:c>
      <x:c r="L6" s="38" t="n">
        <x:v>10000</x:v>
      </x:c>
      <x:c r="M6" s="58" t="b">
        <x:v>1</x:v>
      </x:c>
    </x:row>
    <x:row r="7" ht="15" hidden="0" customHeight="1">
      <x:c r="A7" s="38" t="str">
        <x:v>B_rgb_2d</x:v>
      </x:c>
      <x:c r="B7" s="38" t="str">
        <x:v>C_rgb_2d_3d</x:v>
      </x:c>
      <x:c r="C7" s="38" t="str">
        <x:v>f1_at_locked_threshold</x:v>
      </x:c>
      <x:c r="D7" s="38" t="str">
        <x:v>higher</x:v>
      </x:c>
      <x:c r="E7" s="38" t="str">
        <x:v>augmented_minus_baseline</x:v>
      </x:c>
      <x:c r="F7" s="45" t="n">
        <x:v>0.03495441966</x:v>
      </x:c>
      <x:c r="G7" s="45" t="n">
        <x:v>0.035083881266</x:v>
      </x:c>
      <x:c r="H7" s="45" t="n">
        <x:v>0.017539799765</x:v>
      </x:c>
      <x:c r="I7" s="45" t="n">
        <x:v>0.053815639571</x:v>
      </x:c>
      <x:c r="J7" s="45" t="n">
        <x:v>0.95</x:v>
      </x:c>
      <x:c r="K7" s="38" t="str">
        <x:v>paired percentile video-cluster bootstrap</x:v>
      </x:c>
      <x:c r="L7" s="38" t="n">
        <x:v>10000</x:v>
      </x:c>
      <x:c r="M7" s="58" t="b">
        <x:v>1</x:v>
      </x:c>
    </x:row>
    <x:row r="8" ht="15" hidden="0" customHeight="1">
      <x:c r="A8" s="38" t="str">
        <x:v>B_rgb_2d</x:v>
      </x:c>
      <x:c r="B8" s="38" t="str">
        <x:v>C_rgb_2d_3d</x:v>
      </x:c>
      <x:c r="C8" s="38" t="str">
        <x:v>false_match_rate_at_locked_90_recall_threshold</x:v>
      </x:c>
      <x:c r="D8" s="38" t="str">
        <x:v>lower</x:v>
      </x:c>
      <x:c r="E8" s="38" t="str">
        <x:v>augmented_minus_baseline</x:v>
      </x:c>
      <x:c r="F8" s="45" t="n">
        <x:v>-0.079</x:v>
      </x:c>
      <x:c r="G8" s="45" t="n">
        <x:v>-0.079197484948</x:v>
      </x:c>
      <x:c r="H8" s="45" t="n">
        <x:v>-0.121979596904</x:v>
      </x:c>
      <x:c r="I8" s="45" t="n">
        <x:v>-0.03489502423</x:v>
      </x:c>
      <x:c r="J8" s="45" t="n">
        <x:v>0.95</x:v>
      </x:c>
      <x:c r="K8" s="38" t="str">
        <x:v>paired percentile video-cluster bootstrap</x:v>
      </x:c>
      <x:c r="L8" s="38" t="n">
        <x:v>10000</x:v>
      </x:c>
      <x:c r="M8" s="58" t="b">
        <x:v>1</x:v>
      </x:c>
    </x:row>
    <x:row r="9" ht="15" hidden="0" customHeight="1">
      <x:c r="A9" s="39" t="str">
        <x:v>B_rgb_2d</x:v>
      </x:c>
      <x:c r="B9" s="39" t="str">
        <x:v>C_rgb_2d_3d</x:v>
      </x:c>
      <x:c r="C9" s="39" t="str">
        <x:v>achieved_recall_at_locked_90_recall_threshold</x:v>
      </x:c>
      <x:c r="D9" s="39" t="str">
        <x:v>higher</x:v>
      </x:c>
      <x:c r="E9" s="39" t="str">
        <x:v>augmented_minus_baseline</x:v>
      </x:c>
      <x:c r="F9" s="46" t="n">
        <x:v>0.024</x:v>
      </x:c>
      <x:c r="G9" s="46" t="n">
        <x:v>0.0242729</x:v>
      </x:c>
      <x:c r="H9" s="46" t="n">
        <x:v>-0.01</x:v>
      </x:c>
      <x:c r="I9" s="46" t="n">
        <x:v>0.056</x:v>
      </x:c>
      <x:c r="J9" s="46" t="n">
        <x:v>0.95</x:v>
      </x:c>
      <x:c r="K9" s="39" t="str">
        <x:v>paired percentile video-cluster bootstrap</x:v>
      </x:c>
      <x:c r="L9" s="39" t="n">
        <x:v>10000</x:v>
      </x:c>
      <x:c r="M9" s="59" t="b">
        <x:v>0</x:v>
      </x:c>
    </x:row>
  </x:sheetData>
  <x:mergeCells>
    <x:mergeCell ref="A1:M1"/>
    <x:mergeCell ref="A2:M2"/>
  </x:mergeCells>
  <x:conditionalFormatting sqref="M5:M9">
    <x:cfRule type="cellIs" dxfId="0" priority="1" operator="equal">
      <x:formula>TRUE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4.110000133514404" hidden="0" customWidth="1"/>
    <x:col min="5" max="5" width="6.110000133514404" hidden="0" customWidth="1"/>
    <x:col min="6" max="6" width="6.78000020980835" hidden="0" customWidth="1"/>
    <x:col min="7" max="7" width="9.109999656677246" hidden="0" customWidth="1"/>
    <x:col min="8" max="8" width="9.109999656677246" hidden="0" customWidth="1"/>
    <x:col min="9" max="9" width="9.109999656677246" hidden="0" customWidth="1"/>
    <x:col min="10" max="10" width="14.220000267028809" hidden="0" customWidth="1"/>
    <x:col min="11" max="11" width="11.329999923706055" hidden="0" customWidth="1"/>
    <x:col min="12" max="12" width="9.329999923706055" hidden="0" customWidth="1"/>
    <x:col min="13" max="13" width="15" hidden="0" customWidth="1"/>
  </x:cols>
  <x:sheetData>
    <x:row r="1" ht="19.200000762939453" hidden="0" customHeight="1">
      <x:c r="A1" s="40" t="str">
        <x:v>Test performance by pair stratum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</x:row>
    <x:row r="2" ht="15" hidden="0" customHeight="1">
      <x:c r="A2" s="33" t="str">
        <x:v>Hard/easy comparisons reuse the same positive set. Visibility and motion tertiles were defined on training pairs and then locked.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</x:row>
    <x:row r="3" ht="15" hidden="0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</x:row>
    <x:row r="4" ht="24" hidden="0" customHeight="1">
      <x:c r="A4" s="41" t="str">
        <x:v>Dimension</x:v>
      </x:c>
      <x:c r="B4" s="42" t="str">
        <x:v>Stratum</x:v>
      </x:c>
      <x:c r="C4" s="42" t="str">
        <x:v>Configuration</x:v>
      </x:c>
      <x:c r="D4" s="42" t="str">
        <x:v>Pairs</x:v>
      </x:c>
      <x:c r="E4" s="42" t="str">
        <x:v>Positive</x:v>
      </x:c>
      <x:c r="F4" s="42" t="str">
        <x:v>Negative</x:v>
      </x:c>
      <x:c r="G4" s="42" t="str">
        <x:v>AUROC</x:v>
      </x:c>
      <x:c r="H4" s="42" t="str">
        <x:v>PR-AUC</x:v>
      </x:c>
      <x:c r="I4" s="42" t="str">
        <x:v>F1 locked</x:v>
      </x:c>
      <x:c r="J4" s="42" t="str">
        <x:v>FMR at locked 90%</x:v>
      </x:c>
      <x:c r="K4" s="42" t="str">
        <x:v>Achieved recall</x:v>
      </x:c>
      <x:c r="L4" s="42" t="str">
        <x:v>F1 threshold</x:v>
      </x:c>
      <x:c r="M4" s="43" t="str">
        <x:v>90% recall threshold</x:v>
      </x:c>
    </x:row>
    <x:row r="5" ht="15" hidden="0" customHeight="1">
      <x:c r="A5" s="37" t="str">
        <x:v>negative_comparison</x:v>
      </x:c>
      <x:c r="B5" s="37" t="str">
        <x:v>positive_vs_hard</x:v>
      </x:c>
      <x:c r="C5" s="37" t="str">
        <x:v>A_rgb_only</x:v>
      </x:c>
      <x:c r="D5" s="37" t="n">
        <x:v>1500</x:v>
      </x:c>
      <x:c r="E5" s="37" t="n">
        <x:v>1000</x:v>
      </x:c>
      <x:c r="F5" s="37" t="n">
        <x:v>500</x:v>
      </x:c>
      <x:c r="G5" s="44" t="n">
        <x:v>0.636198</x:v>
      </x:c>
      <x:c r="H5" s="44" t="n">
        <x:v>0.786488169741</x:v>
      </x:c>
      <x:c r="I5" s="44" t="n">
        <x:v>0.721864154685</x:v>
      </x:c>
      <x:c r="J5" s="44" t="n">
        <x:v>0.732</x:v>
      </x:c>
      <x:c r="K5" s="44" t="n">
        <x:v>0.847</x:v>
      </x:c>
      <x:c r="L5" s="44" t="n">
        <x:v>0.4627167893231564</x:v>
      </x:c>
      <x:c r="M5" s="44" t="n">
        <x:v>0.3700743525780599</x:v>
      </x:c>
    </x:row>
    <x:row r="6" ht="15" hidden="0" customHeight="1">
      <x:c r="A6" s="38" t="str">
        <x:v>negative_comparison</x:v>
      </x:c>
      <x:c r="B6" s="38" t="str">
        <x:v>positive_vs_hard</x:v>
      </x:c>
      <x:c r="C6" s="38" t="str">
        <x:v>B_rgb_2d</x:v>
      </x:c>
      <x:c r="D6" s="38" t="n">
        <x:v>1500</x:v>
      </x:c>
      <x:c r="E6" s="38" t="n">
        <x:v>1000</x:v>
      </x:c>
      <x:c r="F6" s="38" t="n">
        <x:v>500</x:v>
      </x:c>
      <x:c r="G6" s="45" t="n">
        <x:v>0.75663</x:v>
      </x:c>
      <x:c r="H6" s="45" t="n">
        <x:v>0.842583768301</x:v>
      </x:c>
      <x:c r="I6" s="45" t="n">
        <x:v>0.805885144756</x:v>
      </x:c>
      <x:c r="J6" s="45" t="n">
        <x:v>0.514</x:v>
      </x:c>
      <x:c r="K6" s="45" t="n">
        <x:v>0.845</x:v>
      </x:c>
      <x:c r="L6" s="45" t="n">
        <x:v>0.43170553389623967</x:v>
      </x:c>
      <x:c r="M6" s="45" t="n">
        <x:v>0.4376130904969784</x:v>
      </x:c>
    </x:row>
    <x:row r="7" ht="15" hidden="0" customHeight="1">
      <x:c r="A7" s="38" t="str">
        <x:v>negative_comparison</x:v>
      </x:c>
      <x:c r="B7" s="38" t="str">
        <x:v>positive_vs_hard</x:v>
      </x:c>
      <x:c r="C7" s="38" t="str">
        <x:v>C_rgb_2d_3d</x:v>
      </x:c>
      <x:c r="D7" s="38" t="n">
        <x:v>1500</x:v>
      </x:c>
      <x:c r="E7" s="38" t="n">
        <x:v>1000</x:v>
      </x:c>
      <x:c r="F7" s="38" t="n">
        <x:v>500</x:v>
      </x:c>
      <x:c r="G7" s="45" t="n">
        <x:v>0.85317</x:v>
      </x:c>
      <x:c r="H7" s="45" t="n">
        <x:v>0.916996702244</x:v>
      </x:c>
      <x:c r="I7" s="45" t="n">
        <x:v>0.849013308857</x:v>
      </x:c>
      <x:c r="J7" s="45" t="n">
        <x:v>0.39</x:v>
      </x:c>
      <x:c r="K7" s="45" t="n">
        <x:v>0.869</x:v>
      </x:c>
      <x:c r="L7" s="45" t="n">
        <x:v>0.37928010903953285</x:v>
      </x:c>
      <x:c r="M7" s="45" t="n">
        <x:v>0.5048223161175864</x:v>
      </x:c>
    </x:row>
    <x:row r="8" ht="15" hidden="0" customHeight="1">
      <x:c r="A8" s="38" t="str">
        <x:v>negative_comparison</x:v>
      </x:c>
      <x:c r="B8" s="38" t="str">
        <x:v>positive_vs_hard</x:v>
      </x:c>
      <x:c r="C8" s="38" t="str">
        <x:v>geometry_only</x:v>
      </x:c>
      <x:c r="D8" s="38" t="n">
        <x:v>1500</x:v>
      </x:c>
      <x:c r="E8" s="38" t="n">
        <x:v>1000</x:v>
      </x:c>
      <x:c r="F8" s="38" t="n">
        <x:v>500</x:v>
      </x:c>
      <x:c r="G8" s="45" t="n">
        <x:v>0.850778</x:v>
      </x:c>
      <x:c r="H8" s="45" t="n">
        <x:v>0.914496800985</x:v>
      </x:c>
      <x:c r="I8" s="45" t="n">
        <x:v>0.857547169811</x:v>
      </x:c>
      <x:c r="J8" s="45" t="n">
        <x:v>0.408</x:v>
      </x:c>
      <x:c r="K8" s="45" t="n">
        <x:v>0.904</x:v>
      </x:c>
      <x:c r="L8" s="45" t="n">
        <x:v>0.45117200198761054</x:v>
      </x:c>
      <x:c r="M8" s="45" t="n">
        <x:v>0.473062580975553</x:v>
      </x:c>
    </x:row>
    <x:row r="9" ht="15" hidden="0" customHeight="1">
      <x:c r="A9" s="38" t="str">
        <x:v>negative_comparison</x:v>
      </x:c>
      <x:c r="B9" s="38" t="str">
        <x:v>positive_vs_easy</x:v>
      </x:c>
      <x:c r="C9" s="38" t="str">
        <x:v>A_rgb_only</x:v>
      </x:c>
      <x:c r="D9" s="38" t="n">
        <x:v>1500</x:v>
      </x:c>
      <x:c r="E9" s="38" t="n">
        <x:v>1000</x:v>
      </x:c>
      <x:c r="F9" s="38" t="n">
        <x:v>500</x:v>
      </x:c>
      <x:c r="G9" s="45" t="n">
        <x:v>0.83684</x:v>
      </x:c>
      <x:c r="H9" s="45" t="n">
        <x:v>0.917372047617</x:v>
      </x:c>
      <x:c r="I9" s="45" t="n">
        <x:v>0.790874524715</x:v>
      </x:c>
      <x:c r="J9" s="45" t="n">
        <x:v>0.394</x:v>
      </x:c>
      <x:c r="K9" s="45" t="n">
        <x:v>0.847</x:v>
      </x:c>
      <x:c r="L9" s="45" t="n">
        <x:v>0.4627167893231564</x:v>
      </x:c>
      <x:c r="M9" s="45" t="n">
        <x:v>0.3700743525780599</x:v>
      </x:c>
    </x:row>
    <x:row r="10" ht="15" hidden="0" customHeight="1">
      <x:c r="A10" s="38" t="str">
        <x:v>negative_comparison</x:v>
      </x:c>
      <x:c r="B10" s="38" t="str">
        <x:v>positive_vs_easy</x:v>
      </x:c>
      <x:c r="C10" s="38" t="str">
        <x:v>B_rgb_2d</x:v>
      </x:c>
      <x:c r="D10" s="38" t="n">
        <x:v>1500</x:v>
      </x:c>
      <x:c r="E10" s="38" t="n">
        <x:v>1000</x:v>
      </x:c>
      <x:c r="F10" s="38" t="n">
        <x:v>500</x:v>
      </x:c>
      <x:c r="G10" s="45" t="n">
        <x:v>0.8989</x:v>
      </x:c>
      <x:c r="H10" s="45" t="n">
        <x:v>0.94608934446</x:v>
      </x:c>
      <x:c r="I10" s="45" t="n">
        <x:v>0.862804878049</x:v>
      </x:c>
      <x:c r="J10" s="45" t="n">
        <x:v>0.234</x:v>
      </x:c>
      <x:c r="K10" s="45" t="n">
        <x:v>0.845</x:v>
      </x:c>
      <x:c r="L10" s="45" t="n">
        <x:v>0.43170553389623967</x:v>
      </x:c>
      <x:c r="M10" s="45" t="n">
        <x:v>0.4376130904969784</x:v>
      </x:c>
    </x:row>
    <x:row r="11" ht="15" hidden="0" customHeight="1">
      <x:c r="A11" s="38" t="str">
        <x:v>negative_comparison</x:v>
      </x:c>
      <x:c r="B11" s="38" t="str">
        <x:v>positive_vs_easy</x:v>
      </x:c>
      <x:c r="C11" s="38" t="str">
        <x:v>C_rgb_2d_3d</x:v>
      </x:c>
      <x:c r="D11" s="38" t="n">
        <x:v>1500</x:v>
      </x:c>
      <x:c r="E11" s="38" t="n">
        <x:v>1000</x:v>
      </x:c>
      <x:c r="F11" s="38" t="n">
        <x:v>500</x:v>
      </x:c>
      <x:c r="G11" s="45" t="n">
        <x:v>0.923702</x:v>
      </x:c>
      <x:c r="H11" s="45" t="n">
        <x:v>0.957505089253</x:v>
      </x:c>
      <x:c r="I11" s="45" t="n">
        <x:v>0.89588377724</x:v>
      </x:c>
      <x:c r="J11" s="45" t="n">
        <x:v>0.2</x:v>
      </x:c>
      <x:c r="K11" s="45" t="n">
        <x:v>0.869</x:v>
      </x:c>
      <x:c r="L11" s="45" t="n">
        <x:v>0.37928010903953285</x:v>
      </x:c>
      <x:c r="M11" s="45" t="n">
        <x:v>0.5048223161175864</x:v>
      </x:c>
    </x:row>
    <x:row r="12" ht="15" hidden="0" customHeight="1">
      <x:c r="A12" s="38" t="str">
        <x:v>negative_comparison</x:v>
      </x:c>
      <x:c r="B12" s="38" t="str">
        <x:v>positive_vs_easy</x:v>
      </x:c>
      <x:c r="C12" s="38" t="str">
        <x:v>geometry_only</x:v>
      </x:c>
      <x:c r="D12" s="38" t="n">
        <x:v>1500</x:v>
      </x:c>
      <x:c r="E12" s="38" t="n">
        <x:v>1000</x:v>
      </x:c>
      <x:c r="F12" s="38" t="n">
        <x:v>500</x:v>
      </x:c>
      <x:c r="G12" s="45" t="n">
        <x:v>0.879936</x:v>
      </x:c>
      <x:c r="H12" s="45" t="n">
        <x:v>0.921651097389</x:v>
      </x:c>
      <x:c r="I12" s="45" t="n">
        <x:v>0.880387409201</x:v>
      </x:c>
      <x:c r="J12" s="45" t="n">
        <x:v>0.302</x:v>
      </x:c>
      <x:c r="K12" s="45" t="n">
        <x:v>0.904</x:v>
      </x:c>
      <x:c r="L12" s="45" t="n">
        <x:v>0.45117200198761054</x:v>
      </x:c>
      <x:c r="M12" s="45" t="n">
        <x:v>0.473062580975553</x:v>
      </x:c>
    </x:row>
    <x:row r="13" ht="15" hidden="0" customHeight="1">
      <x:c r="A13" s="38" t="str">
        <x:v>temporal_gap</x:v>
      </x:c>
      <x:c r="B13" s="38" t="str">
        <x:v>short</x:v>
      </x:c>
      <x:c r="C13" s="38" t="str">
        <x:v>A_rgb_only</x:v>
      </x:c>
      <x:c r="D13" s="38" t="n">
        <x:v>668</x:v>
      </x:c>
      <x:c r="E13" s="38" t="n">
        <x:v>334</x:v>
      </x:c>
      <x:c r="F13" s="38" t="n">
        <x:v>334</x:v>
      </x:c>
      <x:c r="G13" s="45" t="n">
        <x:v>0.85554340421</x:v>
      </x:c>
      <x:c r="H13" s="45" t="n">
        <x:v>0.86067271347</x:v>
      </x:c>
      <x:c r="I13" s="45" t="n">
        <x:v>0.770833333333</x:v>
      </x:c>
      <x:c r="J13" s="45" t="n">
        <x:v>0.586826347305</x:v>
      </x:c>
      <x:c r="K13" s="45" t="n">
        <x:v>0.943113772455</x:v>
      </x:c>
      <x:c r="L13" s="45" t="n">
        <x:v>0.4627167893231564</x:v>
      </x:c>
      <x:c r="M13" s="45" t="n">
        <x:v>0.3700743525780599</x:v>
      </x:c>
    </x:row>
    <x:row r="14" ht="15" hidden="0" customHeight="1">
      <x:c r="A14" s="38" t="str">
        <x:v>temporal_gap</x:v>
      </x:c>
      <x:c r="B14" s="38" t="str">
        <x:v>short</x:v>
      </x:c>
      <x:c r="C14" s="38" t="str">
        <x:v>B_rgb_2d</x:v>
      </x:c>
      <x:c r="D14" s="38" t="n">
        <x:v>668</x:v>
      </x:c>
      <x:c r="E14" s="38" t="n">
        <x:v>334</x:v>
      </x:c>
      <x:c r="F14" s="38" t="n">
        <x:v>334</x:v>
      </x:c>
      <x:c r="G14" s="45" t="n">
        <x:v>0.942002223099</x:v>
      </x:c>
      <x:c r="H14" s="45" t="n">
        <x:v>0.943855033906</x:v>
      </x:c>
      <x:c r="I14" s="45" t="n">
        <x:v>0.859116022099</x:v>
      </x:c>
      <x:c r="J14" s="45" t="n">
        <x:v>0.236526946108</x:v>
      </x:c>
      <x:c r="K14" s="45" t="n">
        <x:v>0.928143712575</x:v>
      </x:c>
      <x:c r="L14" s="45" t="n">
        <x:v>0.43170553389623967</x:v>
      </x:c>
      <x:c r="M14" s="45" t="n">
        <x:v>0.4376130904969784</x:v>
      </x:c>
    </x:row>
    <x:row r="15" ht="15" hidden="0" customHeight="1">
      <x:c r="A15" s="38" t="str">
        <x:v>temporal_gap</x:v>
      </x:c>
      <x:c r="B15" s="38" t="str">
        <x:v>short</x:v>
      </x:c>
      <x:c r="C15" s="38" t="str">
        <x:v>C_rgb_2d_3d</x:v>
      </x:c>
      <x:c r="D15" s="38" t="n">
        <x:v>668</x:v>
      </x:c>
      <x:c r="E15" s="38" t="n">
        <x:v>334</x:v>
      </x:c>
      <x:c r="F15" s="38" t="n">
        <x:v>334</x:v>
      </x:c>
      <x:c r="G15" s="45" t="n">
        <x:v>0.969853705762</x:v>
      </x:c>
      <x:c r="H15" s="45" t="n">
        <x:v>0.968760454991</x:v>
      </x:c>
      <x:c r="I15" s="45" t="n">
        <x:v>0.899425287356</x:v>
      </x:c>
      <x:c r="J15" s="45" t="n">
        <x:v>0.095808383234</x:v>
      </x:c>
      <x:c r="K15" s="45" t="n">
        <x:v>0.913173652695</x:v>
      </x:c>
      <x:c r="L15" s="45" t="n">
        <x:v>0.37928010903953285</x:v>
      </x:c>
      <x:c r="M15" s="45" t="n">
        <x:v>0.5048223161175864</x:v>
      </x:c>
    </x:row>
    <x:row r="16" ht="15" hidden="0" customHeight="1">
      <x:c r="A16" s="38" t="str">
        <x:v>temporal_gap</x:v>
      </x:c>
      <x:c r="B16" s="38" t="str">
        <x:v>short</x:v>
      </x:c>
      <x:c r="C16" s="38" t="str">
        <x:v>geometry_only</x:v>
      </x:c>
      <x:c r="D16" s="38" t="n">
        <x:v>668</x:v>
      </x:c>
      <x:c r="E16" s="38" t="n">
        <x:v>334</x:v>
      </x:c>
      <x:c r="F16" s="38" t="n">
        <x:v>334</x:v>
      </x:c>
      <x:c r="G16" s="45" t="n">
        <x:v>0.957250170318</x:v>
      </x:c>
      <x:c r="H16" s="45" t="n">
        <x:v>0.948060896417</x:v>
      </x:c>
      <x:c r="I16" s="45" t="n">
        <x:v>0.894886363636</x:v>
      </x:c>
      <x:c r="J16" s="45" t="n">
        <x:v>0.161676646707</x:v>
      </x:c>
      <x:c r="K16" s="45" t="n">
        <x:v>0.940119760479</x:v>
      </x:c>
      <x:c r="L16" s="45" t="n">
        <x:v>0.45117200198761054</x:v>
      </x:c>
      <x:c r="M16" s="45" t="n">
        <x:v>0.473062580975553</x:v>
      </x:c>
    </x:row>
    <x:row r="17" ht="15" hidden="0" customHeight="1">
      <x:c r="A17" s="38" t="str">
        <x:v>temporal_gap</x:v>
      </x:c>
      <x:c r="B17" s="38" t="str">
        <x:v>medium</x:v>
      </x:c>
      <x:c r="C17" s="38" t="str">
        <x:v>A_rgb_only</x:v>
      </x:c>
      <x:c r="D17" s="38" t="n">
        <x:v>666</x:v>
      </x:c>
      <x:c r="E17" s="38" t="n">
        <x:v>333</x:v>
      </x:c>
      <x:c r="F17" s="38" t="n">
        <x:v>333</x:v>
      </x:c>
      <x:c r="G17" s="45" t="n">
        <x:v>0.704867029191</x:v>
      </x:c>
      <x:c r="H17" s="45" t="n">
        <x:v>0.676251989658</x:v>
      </x:c>
      <x:c r="I17" s="45" t="n">
        <x:v>0.67972027972</x:v>
      </x:c>
      <x:c r="J17" s="45" t="n">
        <x:v>0.552552552553</x:v>
      </x:c>
      <x:c r="K17" s="45" t="n">
        <x:v>0.843843843844</x:v>
      </x:c>
      <x:c r="L17" s="45" t="n">
        <x:v>0.4627167893231564</x:v>
      </x:c>
      <x:c r="M17" s="45" t="n">
        <x:v>0.3700743525780599</x:v>
      </x:c>
    </x:row>
    <x:row r="18" ht="15" hidden="0" customHeight="1">
      <x:c r="A18" s="38" t="str">
        <x:v>temporal_gap</x:v>
      </x:c>
      <x:c r="B18" s="38" t="str">
        <x:v>medium</x:v>
      </x:c>
      <x:c r="C18" s="38" t="str">
        <x:v>B_rgb_2d</x:v>
      </x:c>
      <x:c r="D18" s="38" t="n">
        <x:v>666</x:v>
      </x:c>
      <x:c r="E18" s="38" t="n">
        <x:v>333</x:v>
      </x:c>
      <x:c r="F18" s="38" t="n">
        <x:v>333</x:v>
      </x:c>
      <x:c r="G18" s="45" t="n">
        <x:v>0.838460081703</x:v>
      </x:c>
      <x:c r="H18" s="45" t="n">
        <x:v>0.831045475428</x:v>
      </x:c>
      <x:c r="I18" s="45" t="n">
        <x:v>0.775067750678</x:v>
      </x:c>
      <x:c r="J18" s="45" t="n">
        <x:v>0.354354354354</x:v>
      </x:c>
      <x:c r="K18" s="45" t="n">
        <x:v>0.852852852853</x:v>
      </x:c>
      <x:c r="L18" s="45" t="n">
        <x:v>0.43170553389623967</x:v>
      </x:c>
      <x:c r="M18" s="45" t="n">
        <x:v>0.4376130904969784</x:v>
      </x:c>
    </x:row>
    <x:row r="19" ht="15" hidden="0" customHeight="1">
      <x:c r="A19" s="38" t="str">
        <x:v>temporal_gap</x:v>
      </x:c>
      <x:c r="B19" s="38" t="str">
        <x:v>medium</x:v>
      </x:c>
      <x:c r="C19" s="38" t="str">
        <x:v>C_rgb_2d_3d</x:v>
      </x:c>
      <x:c r="D19" s="38" t="n">
        <x:v>666</x:v>
      </x:c>
      <x:c r="E19" s="38" t="n">
        <x:v>333</x:v>
      </x:c>
      <x:c r="F19" s="38" t="n">
        <x:v>333</x:v>
      </x:c>
      <x:c r="G19" s="45" t="n">
        <x:v>0.89591393195</x:v>
      </x:c>
      <x:c r="H19" s="45" t="n">
        <x:v>0.882916166158</x:v>
      </x:c>
      <x:c r="I19" s="45" t="n">
        <x:v>0.80251572327</x:v>
      </x:c>
      <x:c r="J19" s="45" t="n">
        <x:v>0.33033033033</x:v>
      </x:c>
      <x:c r="K19" s="45" t="n">
        <x:v>0.924924924925</x:v>
      </x:c>
      <x:c r="L19" s="45" t="n">
        <x:v>0.37928010903953285</x:v>
      </x:c>
      <x:c r="M19" s="45" t="n">
        <x:v>0.5048223161175864</x:v>
      </x:c>
    </x:row>
    <x:row r="20" ht="15" hidden="0" customHeight="1">
      <x:c r="A20" s="38" t="str">
        <x:v>temporal_gap</x:v>
      </x:c>
      <x:c r="B20" s="38" t="str">
        <x:v>medium</x:v>
      </x:c>
      <x:c r="C20" s="38" t="str">
        <x:v>geometry_only</x:v>
      </x:c>
      <x:c r="D20" s="38" t="n">
        <x:v>666</x:v>
      </x:c>
      <x:c r="E20" s="38" t="n">
        <x:v>333</x:v>
      </x:c>
      <x:c r="F20" s="38" t="n">
        <x:v>333</x:v>
      </x:c>
      <x:c r="G20" s="45" t="n">
        <x:v>0.875569262957</x:v>
      </x:c>
      <x:c r="H20" s="45" t="n">
        <x:v>0.851231724479</x:v>
      </x:c>
      <x:c r="I20" s="45" t="n">
        <x:v>0.809278350515</x:v>
      </x:c>
      <x:c r="J20" s="45" t="n">
        <x:v>0.372372372372</x:v>
      </x:c>
      <x:c r="K20" s="45" t="n">
        <x:v>0.93993993994</x:v>
      </x:c>
      <x:c r="L20" s="45" t="n">
        <x:v>0.45117200198761054</x:v>
      </x:c>
      <x:c r="M20" s="45" t="n">
        <x:v>0.473062580975553</x:v>
      </x:c>
    </x:row>
    <x:row r="21" ht="15" hidden="0" customHeight="1">
      <x:c r="A21" s="38" t="str">
        <x:v>temporal_gap</x:v>
      </x:c>
      <x:c r="B21" s="38" t="str">
        <x:v>long</x:v>
      </x:c>
      <x:c r="C21" s="38" t="str">
        <x:v>A_rgb_only</x:v>
      </x:c>
      <x:c r="D21" s="38" t="n">
        <x:v>666</x:v>
      </x:c>
      <x:c r="E21" s="38" t="n">
        <x:v>333</x:v>
      </x:c>
      <x:c r="F21" s="38" t="n">
        <x:v>333</x:v>
      </x:c>
      <x:c r="G21" s="45" t="n">
        <x:v>0.651940228517</x:v>
      </x:c>
      <x:c r="H21" s="45" t="n">
        <x:v>0.642052079348</x:v>
      </x:c>
      <x:c r="I21" s="45" t="n">
        <x:v>0.584234930448</x:v>
      </x:c>
      <x:c r="J21" s="45" t="n">
        <x:v>0.54954954955</x:v>
      </x:c>
      <x:c r="K21" s="45" t="n">
        <x:v>0.753753753754</x:v>
      </x:c>
      <x:c r="L21" s="45" t="n">
        <x:v>0.4627167893231564</x:v>
      </x:c>
      <x:c r="M21" s="45" t="n">
        <x:v>0.3700743525780599</x:v>
      </x:c>
    </x:row>
    <x:row r="22" ht="15" hidden="0" customHeight="1">
      <x:c r="A22" s="38" t="str">
        <x:v>temporal_gap</x:v>
      </x:c>
      <x:c r="B22" s="38" t="str">
        <x:v>long</x:v>
      </x:c>
      <x:c r="C22" s="38" t="str">
        <x:v>B_rgb_2d</x:v>
      </x:c>
      <x:c r="D22" s="38" t="n">
        <x:v>666</x:v>
      </x:c>
      <x:c r="E22" s="38" t="n">
        <x:v>333</x:v>
      </x:c>
      <x:c r="F22" s="38" t="n">
        <x:v>333</x:v>
      </x:c>
      <x:c r="G22" s="45" t="n">
        <x:v>0.668407145885</x:v>
      </x:c>
      <x:c r="H22" s="45" t="n">
        <x:v>0.641469537036</x:v>
      </x:c>
      <x:c r="I22" s="45" t="n">
        <x:v>0.659685863874</x:v>
      </x:c>
      <x:c r="J22" s="45" t="n">
        <x:v>0.531531531532</x:v>
      </x:c>
      <x:c r="K22" s="45" t="n">
        <x:v>0.753753753754</x:v>
      </x:c>
      <x:c r="L22" s="45" t="n">
        <x:v>0.43170553389623967</x:v>
      </x:c>
      <x:c r="M22" s="45" t="n">
        <x:v>0.4376130904969784</x:v>
      </x:c>
    </x:row>
    <x:row r="23" ht="15" hidden="0" customHeight="1">
      <x:c r="A23" s="38" t="str">
        <x:v>temporal_gap</x:v>
      </x:c>
      <x:c r="B23" s="38" t="str">
        <x:v>long</x:v>
      </x:c>
      <x:c r="C23" s="38" t="str">
        <x:v>C_rgb_2d_3d</x:v>
      </x:c>
      <x:c r="D23" s="38" t="n">
        <x:v>666</x:v>
      </x:c>
      <x:c r="E23" s="38" t="n">
        <x:v>333</x:v>
      </x:c>
      <x:c r="F23" s="38" t="n">
        <x:v>333</x:v>
      </x:c>
      <x:c r="G23" s="45" t="n">
        <x:v>0.744753762772</x:v>
      </x:c>
      <x:c r="H23" s="45" t="n">
        <x:v>0.736094132681</x:v>
      </x:c>
      <x:c r="I23" s="45" t="n">
        <x:v>0.707729468599</x:v>
      </x:c>
      <x:c r="J23" s="45" t="n">
        <x:v>0.459459459459</x:v>
      </x:c>
      <x:c r="K23" s="45" t="n">
        <x:v>0.768768768769</x:v>
      </x:c>
      <x:c r="L23" s="45" t="n">
        <x:v>0.37928010903953285</x:v>
      </x:c>
      <x:c r="M23" s="45" t="n">
        <x:v>0.5048223161175864</x:v>
      </x:c>
    </x:row>
    <x:row r="24" ht="15" hidden="0" customHeight="1">
      <x:c r="A24" s="38" t="str">
        <x:v>temporal_gap</x:v>
      </x:c>
      <x:c r="B24" s="38" t="str">
        <x:v>long</x:v>
      </x:c>
      <x:c r="C24" s="38" t="str">
        <x:v>geometry_only</x:v>
      </x:c>
      <x:c r="D24" s="38" t="n">
        <x:v>666</x:v>
      </x:c>
      <x:c r="E24" s="38" t="n">
        <x:v>333</x:v>
      </x:c>
      <x:c r="F24" s="38" t="n">
        <x:v>333</x:v>
      </x:c>
      <x:c r="G24" s="45" t="n">
        <x:v>0.704948191435</x:v>
      </x:c>
      <x:c r="H24" s="45" t="n">
        <x:v>0.678262751669</x:v>
      </x:c>
      <x:c r="I24" s="45" t="n">
        <x:v>0.70351758794</x:v>
      </x:c>
      <x:c r="J24" s="45" t="n">
        <x:v>0.531531531532</x:v>
      </x:c>
      <x:c r="K24" s="45" t="n">
        <x:v>0.831831831832</x:v>
      </x:c>
      <x:c r="L24" s="45" t="n">
        <x:v>0.45117200198761054</x:v>
      </x:c>
      <x:c r="M24" s="45" t="n">
        <x:v>0.473062580975553</x:v>
      </x:c>
    </x:row>
    <x:row r="25" ht="15" hidden="0" customHeight="1">
      <x:c r="A25" s="38" t="str">
        <x:v>visibility</x:v>
      </x:c>
      <x:c r="B25" s="38" t="str">
        <x:v>low</x:v>
      </x:c>
      <x:c r="C25" s="38" t="str">
        <x:v>A_rgb_only</x:v>
      </x:c>
      <x:c r="D25" s="38" t="n">
        <x:v>782</x:v>
      </x:c>
      <x:c r="E25" s="38" t="n">
        <x:v>398</x:v>
      </x:c>
      <x:c r="F25" s="38" t="n">
        <x:v>384</x:v>
      </x:c>
      <x:c r="G25" s="45" t="n">
        <x:v>0.697550251256</x:v>
      </x:c>
      <x:c r="H25" s="45" t="n">
        <x:v>0.705551808424</x:v>
      </x:c>
      <x:c r="I25" s="45" t="n">
        <x:v>0.665882352941</x:v>
      </x:c>
      <x:c r="J25" s="45" t="n">
        <x:v>0.59375</x:v>
      </x:c>
      <x:c r="K25" s="45" t="n">
        <x:v>0.824120603015</x:v>
      </x:c>
      <x:c r="L25" s="45" t="n">
        <x:v>0.4627167893231564</x:v>
      </x:c>
      <x:c r="M25" s="45" t="n">
        <x:v>0.3700743525780599</x:v>
      </x:c>
    </x:row>
    <x:row r="26" ht="15" hidden="0" customHeight="1">
      <x:c r="A26" s="38" t="str">
        <x:v>visibility</x:v>
      </x:c>
      <x:c r="B26" s="38" t="str">
        <x:v>low</x:v>
      </x:c>
      <x:c r="C26" s="38" t="str">
        <x:v>B_rgb_2d</x:v>
      </x:c>
      <x:c r="D26" s="38" t="n">
        <x:v>782</x:v>
      </x:c>
      <x:c r="E26" s="38" t="n">
        <x:v>398</x:v>
      </x:c>
      <x:c r="F26" s="38" t="n">
        <x:v>384</x:v>
      </x:c>
      <x:c r="G26" s="45" t="n">
        <x:v>0.836460950586</x:v>
      </x:c>
      <x:c r="H26" s="45" t="n">
        <x:v>0.829864781629</x:v>
      </x:c>
      <x:c r="I26" s="45" t="n">
        <x:v>0.763888888889</x:v>
      </x:c>
      <x:c r="J26" s="45" t="n">
        <x:v>0.348958333333</x:v>
      </x:c>
      <x:c r="K26" s="45" t="n">
        <x:v>0.826633165829</x:v>
      </x:c>
      <x:c r="L26" s="45" t="n">
        <x:v>0.43170553389623967</x:v>
      </x:c>
      <x:c r="M26" s="45" t="n">
        <x:v>0.4376130904969784</x:v>
      </x:c>
    </x:row>
    <x:row r="27" ht="15" hidden="0" customHeight="1">
      <x:c r="A27" s="38" t="str">
        <x:v>visibility</x:v>
      </x:c>
      <x:c r="B27" s="38" t="str">
        <x:v>low</x:v>
      </x:c>
      <x:c r="C27" s="38" t="str">
        <x:v>C_rgb_2d_3d</x:v>
      </x:c>
      <x:c r="D27" s="38" t="n">
        <x:v>782</x:v>
      </x:c>
      <x:c r="E27" s="38" t="n">
        <x:v>398</x:v>
      </x:c>
      <x:c r="F27" s="38" t="n">
        <x:v>384</x:v>
      </x:c>
      <x:c r="G27" s="45" t="n">
        <x:v>0.873972728224</x:v>
      </x:c>
      <x:c r="H27" s="45" t="n">
        <x:v>0.874071139122</x:v>
      </x:c>
      <x:c r="I27" s="45" t="n">
        <x:v>0.80269058296</x:v>
      </x:c>
      <x:c r="J27" s="45" t="n">
        <x:v>0.291666666667</x:v>
      </x:c>
      <x:c r="K27" s="45" t="n">
        <x:v>0.856783919598</x:v>
      </x:c>
      <x:c r="L27" s="45" t="n">
        <x:v>0.37928010903953285</x:v>
      </x:c>
      <x:c r="M27" s="45" t="n">
        <x:v>0.5048223161175864</x:v>
      </x:c>
    </x:row>
    <x:row r="28" ht="15" hidden="0" customHeight="1">
      <x:c r="A28" s="38" t="str">
        <x:v>visibility</x:v>
      </x:c>
      <x:c r="B28" s="38" t="str">
        <x:v>low</x:v>
      </x:c>
      <x:c r="C28" s="38" t="str">
        <x:v>geometry_only</x:v>
      </x:c>
      <x:c r="D28" s="38" t="n">
        <x:v>782</x:v>
      </x:c>
      <x:c r="E28" s="38" t="n">
        <x:v>398</x:v>
      </x:c>
      <x:c r="F28" s="38" t="n">
        <x:v>384</x:v>
      </x:c>
      <x:c r="G28" s="45" t="n">
        <x:v>0.854827523032</x:v>
      </x:c>
      <x:c r="H28" s="45" t="n">
        <x:v>0.839949797108</x:v>
      </x:c>
      <x:c r="I28" s="45" t="n">
        <x:v>0.797752808989</x:v>
      </x:c>
      <x:c r="J28" s="45" t="n">
        <x:v>0.346354166667</x:v>
      </x:c>
      <x:c r="K28" s="45" t="n">
        <x:v>0.881909547739</x:v>
      </x:c>
      <x:c r="L28" s="45" t="n">
        <x:v>0.45117200198761054</x:v>
      </x:c>
      <x:c r="M28" s="45" t="n">
        <x:v>0.473062580975553</x:v>
      </x:c>
    </x:row>
    <x:row r="29" ht="15" hidden="0" customHeight="1">
      <x:c r="A29" s="38" t="str">
        <x:v>visibility</x:v>
      </x:c>
      <x:c r="B29" s="38" t="str">
        <x:v>medium</x:v>
      </x:c>
      <x:c r="C29" s="38" t="str">
        <x:v>A_rgb_only</x:v>
      </x:c>
      <x:c r="D29" s="38" t="n">
        <x:v>652</x:v>
      </x:c>
      <x:c r="E29" s="38" t="n">
        <x:v>324</x:v>
      </x:c>
      <x:c r="F29" s="38" t="n">
        <x:v>328</x:v>
      </x:c>
      <x:c r="G29" s="45" t="n">
        <x:v>0.760821288768</x:v>
      </x:c>
      <x:c r="H29" s="45" t="n">
        <x:v>0.759273601894</x:v>
      </x:c>
      <x:c r="I29" s="45" t="n">
        <x:v>0.708860759494</x:v>
      </x:c>
      <x:c r="J29" s="45" t="n">
        <x:v>0.521341463415</x:v>
      </x:c>
      <x:c r="K29" s="45" t="n">
        <x:v>0.898148148148</x:v>
      </x:c>
      <x:c r="L29" s="45" t="n">
        <x:v>0.4627167893231564</x:v>
      </x:c>
      <x:c r="M29" s="45" t="n">
        <x:v>0.3700743525780599</x:v>
      </x:c>
    </x:row>
    <x:row r="30" ht="15" hidden="0" customHeight="1">
      <x:c r="A30" s="38" t="str">
        <x:v>visibility</x:v>
      </x:c>
      <x:c r="B30" s="38" t="str">
        <x:v>medium</x:v>
      </x:c>
      <x:c r="C30" s="38" t="str">
        <x:v>B_rgb_2d</x:v>
      </x:c>
      <x:c r="D30" s="38" t="n">
        <x:v>652</x:v>
      </x:c>
      <x:c r="E30" s="38" t="n">
        <x:v>324</x:v>
      </x:c>
      <x:c r="F30" s="38" t="n">
        <x:v>328</x:v>
      </x:c>
      <x:c r="G30" s="45" t="n">
        <x:v>0.827301641072</x:v>
      </x:c>
      <x:c r="H30" s="45" t="n">
        <x:v>0.777291814984</x:v>
      </x:c>
      <x:c r="I30" s="45" t="n">
        <x:v>0.780763790665</x:v>
      </x:c>
      <x:c r="J30" s="45" t="n">
        <x:v>0.326219512195</x:v>
      </x:c>
      <x:c r="K30" s="45" t="n">
        <x:v>0.845679012346</x:v>
      </x:c>
      <x:c r="L30" s="45" t="n">
        <x:v>0.43170553389623967</x:v>
      </x:c>
      <x:c r="M30" s="45" t="n">
        <x:v>0.4376130904969784</x:v>
      </x:c>
    </x:row>
    <x:row r="31" ht="15" hidden="0" customHeight="1">
      <x:c r="A31" s="38" t="str">
        <x:v>visibility</x:v>
      </x:c>
      <x:c r="B31" s="38" t="str">
        <x:v>medium</x:v>
      </x:c>
      <x:c r="C31" s="38" t="str">
        <x:v>C_rgb_2d_3d</x:v>
      </x:c>
      <x:c r="D31" s="38" t="n">
        <x:v>652</x:v>
      </x:c>
      <x:c r="E31" s="38" t="n">
        <x:v>324</x:v>
      </x:c>
      <x:c r="F31" s="38" t="n">
        <x:v>328</x:v>
      </x:c>
      <x:c r="G31" s="45" t="n">
        <x:v>0.897423592291</x:v>
      </x:c>
      <x:c r="H31" s="45" t="n">
        <x:v>0.889015164584</x:v>
      </x:c>
      <x:c r="I31" s="45" t="n">
        <x:v>0.812332439678</x:v>
      </x:c>
      <x:c r="J31" s="45" t="n">
        <x:v>0.259146341463</x:v>
      </x:c>
      <x:c r="K31" s="45" t="n">
        <x:v>0.867283950617</x:v>
      </x:c>
      <x:c r="L31" s="45" t="n">
        <x:v>0.37928010903953285</x:v>
      </x:c>
      <x:c r="M31" s="45" t="n">
        <x:v>0.5048223161175864</x:v>
      </x:c>
    </x:row>
    <x:row r="32" ht="15" hidden="0" customHeight="1">
      <x:c r="A32" s="38" t="str">
        <x:v>visibility</x:v>
      </x:c>
      <x:c r="B32" s="38" t="str">
        <x:v>medium</x:v>
      </x:c>
      <x:c r="C32" s="38" t="str">
        <x:v>geometry_only</x:v>
      </x:c>
      <x:c r="D32" s="38" t="n">
        <x:v>652</x:v>
      </x:c>
      <x:c r="E32" s="38" t="n">
        <x:v>324</x:v>
      </x:c>
      <x:c r="F32" s="38" t="n">
        <x:v>328</x:v>
      </x:c>
      <x:c r="G32" s="45" t="n">
        <x:v>0.882631361036</x:v>
      </x:c>
      <x:c r="H32" s="45" t="n">
        <x:v>0.867412647222</x:v>
      </x:c>
      <x:c r="I32" s="45" t="n">
        <x:v>0.812324929972</x:v>
      </x:c>
      <x:c r="J32" s="45" t="n">
        <x:v>0.289634146341</x:v>
      </x:c>
      <x:c r="K32" s="45" t="n">
        <x:v>0.891975308642</x:v>
      </x:c>
      <x:c r="L32" s="45" t="n">
        <x:v>0.45117200198761054</x:v>
      </x:c>
      <x:c r="M32" s="45" t="n">
        <x:v>0.473062580975553</x:v>
      </x:c>
    </x:row>
    <x:row r="33" ht="15" hidden="0" customHeight="1">
      <x:c r="A33" s="38" t="str">
        <x:v>visibility</x:v>
      </x:c>
      <x:c r="B33" s="38" t="str">
        <x:v>high</x:v>
      </x:c>
      <x:c r="C33" s="38" t="str">
        <x:v>A_rgb_only</x:v>
      </x:c>
      <x:c r="D33" s="38" t="n">
        <x:v>566</x:v>
      </x:c>
      <x:c r="E33" s="38" t="n">
        <x:v>278</x:v>
      </x:c>
      <x:c r="F33" s="38" t="n">
        <x:v>288</x:v>
      </x:c>
      <x:c r="G33" s="45" t="n">
        <x:v>0.760916266986</x:v>
      </x:c>
      <x:c r="H33" s="45" t="n">
        <x:v>0.80287390053</x:v>
      </x:c>
      <x:c r="I33" s="45" t="n">
        <x:v>0.678383128295</x:v>
      </x:c>
      <x:c r="J33" s="45" t="n">
        <x:v>0.569444444444</x:v>
      </x:c>
      <x:c r="K33" s="45" t="n">
        <x:v>0.820143884892</x:v>
      </x:c>
      <x:c r="L33" s="45" t="n">
        <x:v>0.4627167893231564</x:v>
      </x:c>
      <x:c r="M33" s="45" t="n">
        <x:v>0.3700743525780599</x:v>
      </x:c>
    </x:row>
    <x:row r="34" ht="15" hidden="0" customHeight="1">
      <x:c r="A34" s="38" t="str">
        <x:v>visibility</x:v>
      </x:c>
      <x:c r="B34" s="38" t="str">
        <x:v>high</x:v>
      </x:c>
      <x:c r="C34" s="38" t="str">
        <x:v>B_rgb_2d</x:v>
      </x:c>
      <x:c r="D34" s="38" t="n">
        <x:v>566</x:v>
      </x:c>
      <x:c r="E34" s="38" t="n">
        <x:v>278</x:v>
      </x:c>
      <x:c r="F34" s="38" t="n">
        <x:v>288</x:v>
      </x:c>
      <x:c r="G34" s="45" t="n">
        <x:v>0.818570143885</x:v>
      </x:c>
      <x:c r="H34" s="45" t="n">
        <x:v>0.824867066299</x:v>
      </x:c>
      <x:c r="I34" s="45" t="n">
        <x:v>0.741984732824</x:v>
      </x:c>
      <x:c r="J34" s="45" t="n">
        <x:v>0.461805555556</x:v>
      </x:c>
      <x:c r="K34" s="45" t="n">
        <x:v>0.870503597122</x:v>
      </x:c>
      <x:c r="L34" s="45" t="n">
        <x:v>0.43170553389623967</x:v>
      </x:c>
      <x:c r="M34" s="45" t="n">
        <x:v>0.4376130904969784</x:v>
      </x:c>
    </x:row>
    <x:row r="35" ht="15" hidden="0" customHeight="1">
      <x:c r="A35" s="38" t="str">
        <x:v>visibility</x:v>
      </x:c>
      <x:c r="B35" s="38" t="str">
        <x:v>high</x:v>
      </x:c>
      <x:c r="C35" s="38" t="str">
        <x:v>C_rgb_2d_3d</x:v>
      </x:c>
      <x:c r="D35" s="38" t="n">
        <x:v>566</x:v>
      </x:c>
      <x:c r="E35" s="38" t="n">
        <x:v>278</x:v>
      </x:c>
      <x:c r="F35" s="38" t="n">
        <x:v>288</x:v>
      </x:c>
      <x:c r="G35" s="45" t="n">
        <x:v>0.901728617106</x:v>
      </x:c>
      <x:c r="H35" s="45" t="n">
        <x:v>0.905862348712</x:v>
      </x:c>
      <x:c r="I35" s="45" t="n">
        <x:v>0.775330396476</x:v>
      </x:c>
      <x:c r="J35" s="45" t="n">
        <x:v>0.340277777778</x:v>
      </x:c>
      <x:c r="K35" s="45" t="n">
        <x:v>0.888489208633</x:v>
      </x:c>
      <x:c r="L35" s="45" t="n">
        <x:v>0.37928010903953285</x:v>
      </x:c>
      <x:c r="M35" s="45" t="n">
        <x:v>0.5048223161175864</x:v>
      </x:c>
    </x:row>
    <x:row r="36" ht="15" hidden="0" customHeight="1">
      <x:c r="A36" s="38" t="str">
        <x:v>visibility</x:v>
      </x:c>
      <x:c r="B36" s="38" t="str">
        <x:v>high</x:v>
      </x:c>
      <x:c r="C36" s="38" t="str">
        <x:v>geometry_only</x:v>
      </x:c>
      <x:c r="D36" s="38" t="n">
        <x:v>566</x:v>
      </x:c>
      <x:c r="E36" s="38" t="n">
        <x:v>278</x:v>
      </x:c>
      <x:c r="F36" s="38" t="n">
        <x:v>288</x:v>
      </x:c>
      <x:c r="G36" s="45" t="n">
        <x:v>0.864733213429</x:v>
      </x:c>
      <x:c r="H36" s="45" t="n">
        <x:v>0.864054230996</x:v>
      </x:c>
      <x:c r="I36" s="45" t="n">
        <x:v>0.785714285714</x:v>
      </x:c>
      <x:c r="J36" s="45" t="n">
        <x:v>0.440972222222</x:v>
      </x:c>
      <x:c r="K36" s="45" t="n">
        <x:v>0.94964028777</x:v>
      </x:c>
      <x:c r="L36" s="45" t="n">
        <x:v>0.45117200198761054</x:v>
      </x:c>
      <x:c r="M36" s="45" t="n">
        <x:v>0.473062580975553</x:v>
      </x:c>
    </x:row>
    <x:row r="37" ht="15" hidden="0" customHeight="1">
      <x:c r="A37" s="38" t="str">
        <x:v>motion</x:v>
      </x:c>
      <x:c r="B37" s="38" t="str">
        <x:v>low</x:v>
      </x:c>
      <x:c r="C37" s="38" t="str">
        <x:v>A_rgb_only</x:v>
      </x:c>
      <x:c r="D37" s="38" t="n">
        <x:v>753</x:v>
      </x:c>
      <x:c r="E37" s="38" t="n">
        <x:v>363</x:v>
      </x:c>
      <x:c r="F37" s="38" t="n">
        <x:v>390</x:v>
      </x:c>
      <x:c r="G37" s="45" t="n">
        <x:v>0.80076287349</x:v>
      </x:c>
      <x:c r="H37" s="45" t="n">
        <x:v>0.814881192089</x:v>
      </x:c>
      <x:c r="I37" s="45" t="n">
        <x:v>0.724935732648</x:v>
      </x:c>
      <x:c r="J37" s="45" t="n">
        <x:v>0.533333333333</x:v>
      </x:c>
      <x:c r="K37" s="45" t="n">
        <x:v>0.867768595041</x:v>
      </x:c>
      <x:c r="L37" s="45" t="n">
        <x:v>0.4627167893231564</x:v>
      </x:c>
      <x:c r="M37" s="45" t="n">
        <x:v>0.3700743525780599</x:v>
      </x:c>
    </x:row>
    <x:row r="38" ht="15" hidden="0" customHeight="1">
      <x:c r="A38" s="38" t="str">
        <x:v>motion</x:v>
      </x:c>
      <x:c r="B38" s="38" t="str">
        <x:v>low</x:v>
      </x:c>
      <x:c r="C38" s="38" t="str">
        <x:v>B_rgb_2d</x:v>
      </x:c>
      <x:c r="D38" s="38" t="n">
        <x:v>753</x:v>
      </x:c>
      <x:c r="E38" s="38" t="n">
        <x:v>363</x:v>
      </x:c>
      <x:c r="F38" s="38" t="n">
        <x:v>390</x:v>
      </x:c>
      <x:c r="G38" s="45" t="n">
        <x:v>0.897181606273</x:v>
      </x:c>
      <x:c r="H38" s="45" t="n">
        <x:v>0.88937384341</x:v>
      </x:c>
      <x:c r="I38" s="45" t="n">
        <x:v>0.798578199052</x:v>
      </x:c>
      <x:c r="J38" s="45" t="n">
        <x:v>0.369230769231</x:v>
      </x:c>
      <x:c r="K38" s="45" t="n">
        <x:v>0.928374655647</x:v>
      </x:c>
      <x:c r="L38" s="45" t="n">
        <x:v>0.43170553389623967</x:v>
      </x:c>
      <x:c r="M38" s="45" t="n">
        <x:v>0.4376130904969784</x:v>
      </x:c>
    </x:row>
    <x:row r="39" ht="15" hidden="0" customHeight="1">
      <x:c r="A39" s="38" t="str">
        <x:v>motion</x:v>
      </x:c>
      <x:c r="B39" s="38" t="str">
        <x:v>low</x:v>
      </x:c>
      <x:c r="C39" s="38" t="str">
        <x:v>C_rgb_2d_3d</x:v>
      </x:c>
      <x:c r="D39" s="38" t="n">
        <x:v>753</x:v>
      </x:c>
      <x:c r="E39" s="38" t="n">
        <x:v>363</x:v>
      </x:c>
      <x:c r="F39" s="38" t="n">
        <x:v>390</x:v>
      </x:c>
      <x:c r="G39" s="45" t="n">
        <x:v>0.943639189094</x:v>
      </x:c>
      <x:c r="H39" s="45" t="n">
        <x:v>0.943926625435</x:v>
      </x:c>
      <x:c r="I39" s="45" t="n">
        <x:v>0.81387283237</x:v>
      </x:c>
      <x:c r="J39" s="45" t="n">
        <x:v>0.294871794872</x:v>
      </x:c>
      <x:c r="K39" s="45" t="n">
        <x:v>0.942148760331</x:v>
      </x:c>
      <x:c r="L39" s="45" t="n">
        <x:v>0.37928010903953285</x:v>
      </x:c>
      <x:c r="M39" s="45" t="n">
        <x:v>0.5048223161175864</x:v>
      </x:c>
    </x:row>
    <x:row r="40" ht="15" hidden="0" customHeight="1">
      <x:c r="A40" s="38" t="str">
        <x:v>motion</x:v>
      </x:c>
      <x:c r="B40" s="38" t="str">
        <x:v>low</x:v>
      </x:c>
      <x:c r="C40" s="38" t="str">
        <x:v>geometry_only</x:v>
      </x:c>
      <x:c r="D40" s="38" t="n">
        <x:v>753</x:v>
      </x:c>
      <x:c r="E40" s="38" t="n">
        <x:v>363</x:v>
      </x:c>
      <x:c r="F40" s="38" t="n">
        <x:v>390</x:v>
      </x:c>
      <x:c r="G40" s="45" t="n">
        <x:v>0.930529066893</x:v>
      </x:c>
      <x:c r="H40" s="45" t="n">
        <x:v>0.924915990019</x:v>
      </x:c>
      <x:c r="I40" s="45" t="n">
        <x:v>0.824355971897</x:v>
      </x:c>
      <x:c r="J40" s="45" t="n">
        <x:v>0.348717948718</x:v>
      </x:c>
      <x:c r="K40" s="45" t="n">
        <x:v>0.969696969697</x:v>
      </x:c>
      <x:c r="L40" s="45" t="n">
        <x:v>0.45117200198761054</x:v>
      </x:c>
      <x:c r="M40" s="45" t="n">
        <x:v>0.473062580975553</x:v>
      </x:c>
    </x:row>
    <x:row r="41" ht="15" hidden="0" customHeight="1">
      <x:c r="A41" s="38" t="str">
        <x:v>motion</x:v>
      </x:c>
      <x:c r="B41" s="38" t="str">
        <x:v>medium</x:v>
      </x:c>
      <x:c r="C41" s="38" t="str">
        <x:v>A_rgb_only</x:v>
      </x:c>
      <x:c r="D41" s="38" t="n">
        <x:v>612</x:v>
      </x:c>
      <x:c r="E41" s="38" t="n">
        <x:v>295</x:v>
      </x:c>
      <x:c r="F41" s="38" t="n">
        <x:v>317</x:v>
      </x:c>
      <x:c r="G41" s="45" t="n">
        <x:v>0.702325830081</x:v>
      </x:c>
      <x:c r="H41" s="45" t="n">
        <x:v>0.684298551532</x:v>
      </x:c>
      <x:c r="I41" s="45" t="n">
        <x:v>0.631921824104</x:v>
      </x:c>
      <x:c r="J41" s="45" t="n">
        <x:v>0.545741324921</x:v>
      </x:c>
      <x:c r="K41" s="45" t="n">
        <x:v>0.803389830508</x:v>
      </x:c>
      <x:c r="L41" s="45" t="n">
        <x:v>0.4627167893231564</x:v>
      </x:c>
      <x:c r="M41" s="45" t="n">
        <x:v>0.3700743525780599</x:v>
      </x:c>
    </x:row>
    <x:row r="42" ht="15" hidden="0" customHeight="1">
      <x:c r="A42" s="38" t="str">
        <x:v>motion</x:v>
      </x:c>
      <x:c r="B42" s="38" t="str">
        <x:v>medium</x:v>
      </x:c>
      <x:c r="C42" s="38" t="str">
        <x:v>B_rgb_2d</x:v>
      </x:c>
      <x:c r="D42" s="38" t="n">
        <x:v>612</x:v>
      </x:c>
      <x:c r="E42" s="38" t="n">
        <x:v>295</x:v>
      </x:c>
      <x:c r="F42" s="38" t="n">
        <x:v>317</x:v>
      </x:c>
      <x:c r="G42" s="45" t="n">
        <x:v>0.80352884564</x:v>
      </x:c>
      <x:c r="H42" s="45" t="n">
        <x:v>0.740667640647</x:v>
      </x:c>
      <x:c r="I42" s="45" t="n">
        <x:v>0.748520710059</x:v>
      </x:c>
      <x:c r="J42" s="45" t="n">
        <x:v>0.400630914826</x:v>
      </x:c>
      <x:c r="K42" s="45" t="n">
        <x:v>0.854237288136</x:v>
      </x:c>
      <x:c r="L42" s="45" t="n">
        <x:v>0.43170553389623967</x:v>
      </x:c>
      <x:c r="M42" s="45" t="n">
        <x:v>0.4376130904969784</x:v>
      </x:c>
    </x:row>
    <x:row r="43" ht="15" hidden="0" customHeight="1">
      <x:c r="A43" s="38" t="str">
        <x:v>motion</x:v>
      </x:c>
      <x:c r="B43" s="38" t="str">
        <x:v>medium</x:v>
      </x:c>
      <x:c r="C43" s="38" t="str">
        <x:v>C_rgb_2d_3d</x:v>
      </x:c>
      <x:c r="D43" s="38" t="n">
        <x:v>612</x:v>
      </x:c>
      <x:c r="E43" s="38" t="n">
        <x:v>295</x:v>
      </x:c>
      <x:c r="F43" s="38" t="n">
        <x:v>317</x:v>
      </x:c>
      <x:c r="G43" s="45" t="n">
        <x:v>0.894284339411</x:v>
      </x:c>
      <x:c r="H43" s="45" t="n">
        <x:v>0.874523397949</x:v>
      </x:c>
      <x:c r="I43" s="45" t="n">
        <x:v>0.784810126582</x:v>
      </x:c>
      <x:c r="J43" s="45" t="n">
        <x:v>0.299684542587</x:v>
      </x:c>
      <x:c r="K43" s="45" t="n">
        <x:v>0.891525423729</x:v>
      </x:c>
      <x:c r="L43" s="45" t="n">
        <x:v>0.37928010903953285</x:v>
      </x:c>
      <x:c r="M43" s="45" t="n">
        <x:v>0.5048223161175864</x:v>
      </x:c>
    </x:row>
    <x:row r="44" ht="15" hidden="0" customHeight="1">
      <x:c r="A44" s="38" t="str">
        <x:v>motion</x:v>
      </x:c>
      <x:c r="B44" s="38" t="str">
        <x:v>medium</x:v>
      </x:c>
      <x:c r="C44" s="38" t="str">
        <x:v>geometry_only</x:v>
      </x:c>
      <x:c r="D44" s="38" t="n">
        <x:v>612</x:v>
      </x:c>
      <x:c r="E44" s="38" t="n">
        <x:v>295</x:v>
      </x:c>
      <x:c r="F44" s="38" t="n">
        <x:v>317</x:v>
      </x:c>
      <x:c r="G44" s="45" t="n">
        <x:v>0.864845211998</x:v>
      </x:c>
      <x:c r="H44" s="45" t="n">
        <x:v>0.819861209607</x:v>
      </x:c>
      <x:c r="I44" s="45" t="n">
        <x:v>0.795422031474</x:v>
      </x:c>
      <x:c r="J44" s="45" t="n">
        <x:v>0.384858044164</x:v>
      </x:c>
      <x:c r="K44" s="45" t="n">
        <x:v>0.938983050847</x:v>
      </x:c>
      <x:c r="L44" s="45" t="n">
        <x:v>0.45117200198761054</x:v>
      </x:c>
      <x:c r="M44" s="45" t="n">
        <x:v>0.473062580975553</x:v>
      </x:c>
    </x:row>
    <x:row r="45" ht="15" hidden="0" customHeight="1">
      <x:c r="A45" s="38" t="str">
        <x:v>motion</x:v>
      </x:c>
      <x:c r="B45" s="38" t="str">
        <x:v>high</x:v>
      </x:c>
      <x:c r="C45" s="38" t="str">
        <x:v>A_rgb_only</x:v>
      </x:c>
      <x:c r="D45" s="38" t="n">
        <x:v>635</x:v>
      </x:c>
      <x:c r="E45" s="38" t="n">
        <x:v>342</x:v>
      </x:c>
      <x:c r="F45" s="38" t="n">
        <x:v>293</x:v>
      </x:c>
      <x:c r="G45" s="45" t="n">
        <x:v>0.684110731892</x:v>
      </x:c>
      <x:c r="H45" s="45" t="n">
        <x:v>0.702084798653</x:v>
      </x:c>
      <x:c r="I45" s="45" t="n">
        <x:v>0.682926829268</x:v>
      </x:c>
      <x:c r="J45" s="45" t="n">
        <x:v>0.621160409556</x:v>
      </x:c>
      <x:c r="K45" s="45" t="n">
        <x:v>0.862573099415</x:v>
      </x:c>
      <x:c r="L45" s="45" t="n">
        <x:v>0.4627167893231564</x:v>
      </x:c>
      <x:c r="M45" s="45" t="n">
        <x:v>0.3700743525780599</x:v>
      </x:c>
    </x:row>
    <x:row r="46" ht="15" hidden="0" customHeight="1">
      <x:c r="A46" s="38" t="str">
        <x:v>motion</x:v>
      </x:c>
      <x:c r="B46" s="38" t="str">
        <x:v>high</x:v>
      </x:c>
      <x:c r="C46" s="38" t="str">
        <x:v>B_rgb_2d</x:v>
      </x:c>
      <x:c r="D46" s="38" t="n">
        <x:v>635</x:v>
      </x:c>
      <x:c r="E46" s="38" t="n">
        <x:v>342</x:v>
      </x:c>
      <x:c r="F46" s="38" t="n">
        <x:v>293</x:v>
      </x:c>
      <x:c r="G46" s="45" t="n">
        <x:v>0.779164920264</x:v>
      </x:c>
      <x:c r="H46" s="45" t="n">
        <x:v>0.78604049263</x:v>
      </x:c>
      <x:c r="I46" s="45" t="n">
        <x:v>0.733711048159</x:v>
      </x:c>
      <x:c r="J46" s="45" t="n">
        <x:v>0.351535836177</x:v>
      </x:c>
      <x:c r="K46" s="45" t="n">
        <x:v>0.748538011696</x:v>
      </x:c>
      <x:c r="L46" s="45" t="n">
        <x:v>0.43170553389623967</x:v>
      </x:c>
      <x:c r="M46" s="45" t="n">
        <x:v>0.4376130904969784</x:v>
      </x:c>
    </x:row>
    <x:row r="47" ht="15" hidden="0" customHeight="1">
      <x:c r="A47" s="38" t="str">
        <x:v>motion</x:v>
      </x:c>
      <x:c r="B47" s="38" t="str">
        <x:v>high</x:v>
      </x:c>
      <x:c r="C47" s="38" t="str">
        <x:v>C_rgb_2d_3d</x:v>
      </x:c>
      <x:c r="D47" s="38" t="n">
        <x:v>635</x:v>
      </x:c>
      <x:c r="E47" s="38" t="n">
        <x:v>342</x:v>
      </x:c>
      <x:c r="F47" s="38" t="n">
        <x:v>293</x:v>
      </x:c>
      <x:c r="G47" s="45" t="n">
        <x:v>0.826886613576</x:v>
      </x:c>
      <x:c r="H47" s="45" t="n">
        <x:v>0.820191219386</x:v>
      </x:c>
      <x:c r="I47" s="45" t="n">
        <x:v>0.791386271871</x:v>
      </x:c>
      <x:c r="J47" s="45" t="n">
        <x:v>0.290102389078</x:v>
      </x:c>
      <x:c r="K47" s="45" t="n">
        <x:v>0.771929824561</x:v>
      </x:c>
      <x:c r="L47" s="45" t="n">
        <x:v>0.37928010903953285</x:v>
      </x:c>
      <x:c r="M47" s="45" t="n">
        <x:v>0.5048223161175864</x:v>
      </x:c>
    </x:row>
    <x:row r="48" ht="15" hidden="0" customHeight="1">
      <x:c r="A48" s="39" t="str">
        <x:v>motion</x:v>
      </x:c>
      <x:c r="B48" s="39" t="str">
        <x:v>high</x:v>
      </x:c>
      <x:c r="C48" s="39" t="str">
        <x:v>geometry_only</x:v>
      </x:c>
      <x:c r="D48" s="39" t="n">
        <x:v>635</x:v>
      </x:c>
      <x:c r="E48" s="39" t="n">
        <x:v>342</x:v>
      </x:c>
      <x:c r="F48" s="39" t="n">
        <x:v>293</x:v>
      </x:c>
      <x:c r="G48" s="46" t="n">
        <x:v>0.812266730535</x:v>
      </x:c>
      <x:c r="H48" s="46" t="n">
        <x:v>0.795689623339</x:v>
      </x:c>
      <x:c r="I48" s="46" t="n">
        <x:v>0.771784232365</x:v>
      </x:c>
      <x:c r="J48" s="46" t="n">
        <x:v>0.331058020478</x:v>
      </x:c>
      <x:c r="K48" s="46" t="n">
        <x:v>0.804093567251</x:v>
      </x:c>
      <x:c r="L48" s="46" t="n">
        <x:v>0.45117200198761054</x:v>
      </x:c>
      <x:c r="M48" s="46" t="n">
        <x:v>0.473062580975553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6.22000122070312" hidden="0" customWidth="1"/>
    <x:col min="2" max="2" width="10.220000267028809" hidden="0" customWidth="1"/>
    <x:col min="3" max="3" width="28" hidden="0" customWidth="1"/>
    <x:col min="4" max="4" width="9.109999656677246" hidden="0" customWidth="1"/>
    <x:col min="5" max="5" width="13.779999732971191" hidden="0" customWidth="1"/>
    <x:col min="6" max="6" width="13.4399995803833" hidden="0" customWidth="1"/>
    <x:col min="7" max="7" width="3.890000104904175" hidden="0" customWidth="1"/>
  </x:cols>
  <x:sheetData>
    <x:row r="1" ht="19.200000762939453" hidden="0" customHeight="1">
      <x:c r="A1" s="40" t="str">
        <x:v>Positive-negative pair-control balance</x:v>
      </x:c>
      <x:c r="B1" s="32"/>
      <x:c r="C1" s="32"/>
      <x:c r="D1" s="32"/>
      <x:c r="E1" s="32"/>
      <x:c r="F1" s="32"/>
      <x:c r="G1" s="32"/>
    </x:row>
    <x:row r="2" ht="15" hidden="0" customHeight="1">
      <x:c r="A2" s="33" t="str">
        <x:v>Absolute standardized mean differences compare matched negatives with positive templates; the predeclared maximum was 0.10.</x:v>
      </x:c>
      <x:c r="B2" s="32"/>
      <x:c r="C2" s="32"/>
      <x:c r="D2" s="32"/>
      <x:c r="E2" s="32"/>
      <x:c r="F2" s="32"/>
      <x:c r="G2" s="32"/>
    </x:row>
    <x:row r="3" ht="15" hidden="0" customHeight="1">
      <x:c r="A3" s="32"/>
      <x:c r="B3" s="32"/>
      <x:c r="C3" s="32"/>
      <x:c r="D3" s="32"/>
      <x:c r="E3" s="32"/>
      <x:c r="F3" s="32"/>
      <x:c r="G3" s="32"/>
    </x:row>
    <x:row r="4" ht="15" hidden="0" customHeight="1">
      <x:c r="A4" s="41" t="str">
        <x:v>Split</x:v>
      </x:c>
      <x:c r="B4" s="42" t="str">
        <x:v>Negative type</x:v>
      </x:c>
      <x:c r="C4" s="42" t="str">
        <x:v>Control</x:v>
      </x:c>
      <x:c r="D4" s="42" t="str">
        <x:v>SMD</x:v>
      </x:c>
      <x:c r="E4" s="42" t="str">
        <x:v>Max absolute SMD</x:v>
      </x:c>
      <x:c r="F4" s="42" t="str">
        <x:v>Allowed maximum</x:v>
      </x:c>
      <x:c r="G4" s="43" t="str">
        <x:v>Pass</x:v>
      </x:c>
    </x:row>
    <x:row r="5" ht="15" hidden="0" customHeight="1">
      <x:c r="A5" s="37" t="str">
        <x:v>train</x:v>
      </x:c>
      <x:c r="B5" s="37" t="str">
        <x:v>hard</x:v>
      </x:c>
      <x:c r="C5" s="37" t="str">
        <x:v>frame_a</x:v>
      </x:c>
      <x:c r="D5" s="44" t="n">
        <x:v>0.000571489361</x:v>
      </x:c>
      <x:c r="E5" s="44" t="n">
        <x:v>0.010511211395</x:v>
      </x:c>
      <x:c r="F5" s="44" t="n">
        <x:v>0.1</x:v>
      </x:c>
      <x:c r="G5" s="57" t="b">
        <x:v>1</x:v>
      </x:c>
    </x:row>
    <x:row r="6" ht="15" hidden="0" customHeight="1">
      <x:c r="A6" s="38" t="str">
        <x:v>train</x:v>
      </x:c>
      <x:c r="B6" s="38" t="str">
        <x:v>hard</x:v>
      </x:c>
      <x:c r="C6" s="38" t="str">
        <x:v>frame_b</x:v>
      </x:c>
      <x:c r="D6" s="45" t="n">
        <x:v>0.010199975997</x:v>
      </x:c>
      <x:c r="E6" s="45" t="n">
        <x:v>0.010511211395</x:v>
      </x:c>
      <x:c r="F6" s="45" t="n">
        <x:v>0.1</x:v>
      </x:c>
      <x:c r="G6" s="58" t="b">
        <x:v>1</x:v>
      </x:c>
    </x:row>
    <x:row r="7" ht="15" hidden="0" customHeight="1">
      <x:c r="A7" s="38" t="str">
        <x:v>train</x:v>
      </x:c>
      <x:c r="B7" s="38" t="str">
        <x:v>hard</x:v>
      </x:c>
      <x:c r="C7" s="38" t="str">
        <x:v>log_crop_height_a</x:v>
      </x:c>
      <x:c r="D7" s="45" t="n">
        <x:v>0.000025488798</x:v>
      </x:c>
      <x:c r="E7" s="45" t="n">
        <x:v>0.010511211395</x:v>
      </x:c>
      <x:c r="F7" s="45" t="n">
        <x:v>0.1</x:v>
      </x:c>
      <x:c r="G7" s="58" t="b">
        <x:v>1</x:v>
      </x:c>
    </x:row>
    <x:row r="8" ht="15" hidden="0" customHeight="1">
      <x:c r="A8" s="38" t="str">
        <x:v>train</x:v>
      </x:c>
      <x:c r="B8" s="38" t="str">
        <x:v>hard</x:v>
      </x:c>
      <x:c r="C8" s="38" t="str">
        <x:v>log_crop_height_b</x:v>
      </x:c>
      <x:c r="D8" s="45" t="n">
        <x:v>0.000070591463</x:v>
      </x:c>
      <x:c r="E8" s="45" t="n">
        <x:v>0.010511211395</x:v>
      </x:c>
      <x:c r="F8" s="45" t="n">
        <x:v>0.1</x:v>
      </x:c>
      <x:c r="G8" s="58" t="b">
        <x:v>1</x:v>
      </x:c>
    </x:row>
    <x:row r="9" ht="15" hidden="0" customHeight="1">
      <x:c r="A9" s="38" t="str">
        <x:v>train</x:v>
      </x:c>
      <x:c r="B9" s="38" t="str">
        <x:v>hard</x:v>
      </x:c>
      <x:c r="C9" s="38" t="str">
        <x:v>log_crop_width_a</x:v>
      </x:c>
      <x:c r="D9" s="45" t="n">
        <x:v>0.000009278455</x:v>
      </x:c>
      <x:c r="E9" s="45" t="n">
        <x:v>0.010511211395</x:v>
      </x:c>
      <x:c r="F9" s="45" t="n">
        <x:v>0.1</x:v>
      </x:c>
      <x:c r="G9" s="58" t="b">
        <x:v>1</x:v>
      </x:c>
    </x:row>
    <x:row r="10" ht="15" hidden="0" customHeight="1">
      <x:c r="A10" s="38" t="str">
        <x:v>train</x:v>
      </x:c>
      <x:c r="B10" s="38" t="str">
        <x:v>hard</x:v>
      </x:c>
      <x:c r="C10" s="38" t="str">
        <x:v>log_crop_width_b</x:v>
      </x:c>
      <x:c r="D10" s="45" t="n">
        <x:v>0.00001118628</x:v>
      </x:c>
      <x:c r="E10" s="45" t="n">
        <x:v>0.010511211395</x:v>
      </x:c>
      <x:c r="F10" s="45" t="n">
        <x:v>0.1</x:v>
      </x:c>
      <x:c r="G10" s="58" t="b">
        <x:v>1</x:v>
      </x:c>
    </x:row>
    <x:row r="11" ht="15" hidden="0" customHeight="1">
      <x:c r="A11" s="38" t="str">
        <x:v>train</x:v>
      </x:c>
      <x:c r="B11" s="38" t="str">
        <x:v>hard</x:v>
      </x:c>
      <x:c r="C11" s="38" t="str">
        <x:v>log_mask_area_a</x:v>
      </x:c>
      <x:c r="D11" s="45" t="n">
        <x:v>0.000496698041</x:v>
      </x:c>
      <x:c r="E11" s="45" t="n">
        <x:v>0.010511211395</x:v>
      </x:c>
      <x:c r="F11" s="45" t="n">
        <x:v>0.1</x:v>
      </x:c>
      <x:c r="G11" s="58" t="b">
        <x:v>1</x:v>
      </x:c>
    </x:row>
    <x:row r="12" ht="15" hidden="0" customHeight="1">
      <x:c r="A12" s="38" t="str">
        <x:v>train</x:v>
      </x:c>
      <x:c r="B12" s="38" t="str">
        <x:v>hard</x:v>
      </x:c>
      <x:c r="C12" s="38" t="str">
        <x:v>log_mask_area_b</x:v>
      </x:c>
      <x:c r="D12" s="45" t="n">
        <x:v>0.000469123056</x:v>
      </x:c>
      <x:c r="E12" s="45" t="n">
        <x:v>0.010511211395</x:v>
      </x:c>
      <x:c r="F12" s="45" t="n">
        <x:v>0.1</x:v>
      </x:c>
      <x:c r="G12" s="58" t="b">
        <x:v>1</x:v>
      </x:c>
    </x:row>
    <x:row r="13" ht="15" hidden="0" customHeight="1">
      <x:c r="A13" s="38" t="str">
        <x:v>train</x:v>
      </x:c>
      <x:c r="B13" s="38" t="str">
        <x:v>hard</x:v>
      </x:c>
      <x:c r="C13" s="38" t="str">
        <x:v>log_visibility_a</x:v>
      </x:c>
      <x:c r="D13" s="45" t="n">
        <x:v>0.000333276402</x:v>
      </x:c>
      <x:c r="E13" s="45" t="n">
        <x:v>0.010511211395</x:v>
      </x:c>
      <x:c r="F13" s="45" t="n">
        <x:v>0.1</x:v>
      </x:c>
      <x:c r="G13" s="58" t="b">
        <x:v>1</x:v>
      </x:c>
    </x:row>
    <x:row r="14" ht="15" hidden="0" customHeight="1">
      <x:c r="A14" s="38" t="str">
        <x:v>train</x:v>
      </x:c>
      <x:c r="B14" s="38" t="str">
        <x:v>hard</x:v>
      </x:c>
      <x:c r="C14" s="38" t="str">
        <x:v>log_visibility_b</x:v>
      </x:c>
      <x:c r="D14" s="45" t="n">
        <x:v>0.000412489347</x:v>
      </x:c>
      <x:c r="E14" s="45" t="n">
        <x:v>0.010511211395</x:v>
      </x:c>
      <x:c r="F14" s="45" t="n">
        <x:v>0.1</x:v>
      </x:c>
      <x:c r="G14" s="58" t="b">
        <x:v>1</x:v>
      </x:c>
    </x:row>
    <x:row r="15" ht="15" hidden="0" customHeight="1">
      <x:c r="A15" s="38" t="str">
        <x:v>train</x:v>
      </x:c>
      <x:c r="B15" s="38" t="str">
        <x:v>hard</x:v>
      </x:c>
      <x:c r="C15" s="38" t="str">
        <x:v>temporal_gap</x:v>
      </x:c>
      <x:c r="D15" s="45" t="n">
        <x:v>0.010511211395</x:v>
      </x:c>
      <x:c r="E15" s="45" t="n">
        <x:v>0.010511211395</x:v>
      </x:c>
      <x:c r="F15" s="45" t="n">
        <x:v>0.1</x:v>
      </x:c>
      <x:c r="G15" s="58" t="b">
        <x:v>1</x:v>
      </x:c>
    </x:row>
    <x:row r="16" ht="15" hidden="0" customHeight="1">
      <x:c r="A16" s="38" t="str">
        <x:v>train</x:v>
      </x:c>
      <x:c r="B16" s="38" t="str">
        <x:v>easy</x:v>
      </x:c>
      <x:c r="C16" s="38" t="str">
        <x:v>frame_a</x:v>
      </x:c>
      <x:c r="D16" s="45" t="n">
        <x:v>0.000566714524</x:v>
      </x:c>
      <x:c r="E16" s="45" t="n">
        <x:v>0.01029309436</x:v>
      </x:c>
      <x:c r="F16" s="45" t="n">
        <x:v>0.1</x:v>
      </x:c>
      <x:c r="G16" s="58" t="b">
        <x:v>1</x:v>
      </x:c>
    </x:row>
    <x:row r="17" ht="15" hidden="0" customHeight="1">
      <x:c r="A17" s="38" t="str">
        <x:v>train</x:v>
      </x:c>
      <x:c r="B17" s="38" t="str">
        <x:v>easy</x:v>
      </x:c>
      <x:c r="C17" s="38" t="str">
        <x:v>frame_b</x:v>
      </x:c>
      <x:c r="D17" s="45" t="n">
        <x:v>0.010112960845</x:v>
      </x:c>
      <x:c r="E17" s="45" t="n">
        <x:v>0.01029309436</x:v>
      </x:c>
      <x:c r="F17" s="45" t="n">
        <x:v>0.1</x:v>
      </x:c>
      <x:c r="G17" s="58" t="b">
        <x:v>1</x:v>
      </x:c>
    </x:row>
    <x:row r="18" ht="15" hidden="0" customHeight="1">
      <x:c r="A18" s="38" t="str">
        <x:v>train</x:v>
      </x:c>
      <x:c r="B18" s="38" t="str">
        <x:v>easy</x:v>
      </x:c>
      <x:c r="C18" s="38" t="str">
        <x:v>log_crop_height_a</x:v>
      </x:c>
      <x:c r="D18" s="45" t="n">
        <x:v>0.00000743248</x:v>
      </x:c>
      <x:c r="E18" s="45" t="n">
        <x:v>0.01029309436</x:v>
      </x:c>
      <x:c r="F18" s="45" t="n">
        <x:v>0.1</x:v>
      </x:c>
      <x:c r="G18" s="58" t="b">
        <x:v>1</x:v>
      </x:c>
    </x:row>
    <x:row r="19" ht="15" hidden="0" customHeight="1">
      <x:c r="A19" s="38" t="str">
        <x:v>train</x:v>
      </x:c>
      <x:c r="B19" s="38" t="str">
        <x:v>easy</x:v>
      </x:c>
      <x:c r="C19" s="38" t="str">
        <x:v>log_crop_height_b</x:v>
      </x:c>
      <x:c r="D19" s="45" t="n">
        <x:v>0.00001584974</x:v>
      </x:c>
      <x:c r="E19" s="45" t="n">
        <x:v>0.01029309436</x:v>
      </x:c>
      <x:c r="F19" s="45" t="n">
        <x:v>0.1</x:v>
      </x:c>
      <x:c r="G19" s="58" t="b">
        <x:v>1</x:v>
      </x:c>
    </x:row>
    <x:row r="20" ht="15" hidden="0" customHeight="1">
      <x:c r="A20" s="38" t="str">
        <x:v>train</x:v>
      </x:c>
      <x:c r="B20" s="38" t="str">
        <x:v>easy</x:v>
      </x:c>
      <x:c r="C20" s="38" t="str">
        <x:v>log_crop_width_a</x:v>
      </x:c>
      <x:c r="D20" s="45" t="n">
        <x:v>0.000004720218</x:v>
      </x:c>
      <x:c r="E20" s="45" t="n">
        <x:v>0.01029309436</x:v>
      </x:c>
      <x:c r="F20" s="45" t="n">
        <x:v>0.1</x:v>
      </x:c>
      <x:c r="G20" s="58" t="b">
        <x:v>1</x:v>
      </x:c>
    </x:row>
    <x:row r="21" ht="15" hidden="0" customHeight="1">
      <x:c r="A21" s="38" t="str">
        <x:v>train</x:v>
      </x:c>
      <x:c r="B21" s="38" t="str">
        <x:v>easy</x:v>
      </x:c>
      <x:c r="C21" s="38" t="str">
        <x:v>log_crop_width_b</x:v>
      </x:c>
      <x:c r="D21" s="45" t="n">
        <x:v>0.000012028112</x:v>
      </x:c>
      <x:c r="E21" s="45" t="n">
        <x:v>0.01029309436</x:v>
      </x:c>
      <x:c r="F21" s="45" t="n">
        <x:v>0.1</x:v>
      </x:c>
      <x:c r="G21" s="58" t="b">
        <x:v>1</x:v>
      </x:c>
    </x:row>
    <x:row r="22" ht="15" hidden="0" customHeight="1">
      <x:c r="A22" s="38" t="str">
        <x:v>train</x:v>
      </x:c>
      <x:c r="B22" s="38" t="str">
        <x:v>easy</x:v>
      </x:c>
      <x:c r="C22" s="38" t="str">
        <x:v>log_mask_area_a</x:v>
      </x:c>
      <x:c r="D22" s="45" t="n">
        <x:v>0.000043543622</x:v>
      </x:c>
      <x:c r="E22" s="45" t="n">
        <x:v>0.01029309436</x:v>
      </x:c>
      <x:c r="F22" s="45" t="n">
        <x:v>0.1</x:v>
      </x:c>
      <x:c r="G22" s="58" t="b">
        <x:v>1</x:v>
      </x:c>
    </x:row>
    <x:row r="23" ht="15" hidden="0" customHeight="1">
      <x:c r="A23" s="38" t="str">
        <x:v>train</x:v>
      </x:c>
      <x:c r="B23" s="38" t="str">
        <x:v>easy</x:v>
      </x:c>
      <x:c r="C23" s="38" t="str">
        <x:v>log_mask_area_b</x:v>
      </x:c>
      <x:c r="D23" s="45" t="n">
        <x:v>0.000001825036</x:v>
      </x:c>
      <x:c r="E23" s="45" t="n">
        <x:v>0.01029309436</x:v>
      </x:c>
      <x:c r="F23" s="45" t="n">
        <x:v>0.1</x:v>
      </x:c>
      <x:c r="G23" s="58" t="b">
        <x:v>1</x:v>
      </x:c>
    </x:row>
    <x:row r="24" ht="15" hidden="0" customHeight="1">
      <x:c r="A24" s="38" t="str">
        <x:v>train</x:v>
      </x:c>
      <x:c r="B24" s="38" t="str">
        <x:v>easy</x:v>
      </x:c>
      <x:c r="C24" s="38" t="str">
        <x:v>log_visibility_a</x:v>
      </x:c>
      <x:c r="D24" s="45" t="n">
        <x:v>0.000028641196</x:v>
      </x:c>
      <x:c r="E24" s="45" t="n">
        <x:v>0.01029309436</x:v>
      </x:c>
      <x:c r="F24" s="45" t="n">
        <x:v>0.1</x:v>
      </x:c>
      <x:c r="G24" s="58" t="b">
        <x:v>1</x:v>
      </x:c>
    </x:row>
    <x:row r="25" ht="15" hidden="0" customHeight="1">
      <x:c r="A25" s="38" t="str">
        <x:v>train</x:v>
      </x:c>
      <x:c r="B25" s="38" t="str">
        <x:v>easy</x:v>
      </x:c>
      <x:c r="C25" s="38" t="str">
        <x:v>log_visibility_b</x:v>
      </x:c>
      <x:c r="D25" s="45" t="n">
        <x:v>0.000011171585</x:v>
      </x:c>
      <x:c r="E25" s="45" t="n">
        <x:v>0.01029309436</x:v>
      </x:c>
      <x:c r="F25" s="45" t="n">
        <x:v>0.1</x:v>
      </x:c>
      <x:c r="G25" s="58" t="b">
        <x:v>1</x:v>
      </x:c>
    </x:row>
    <x:row r="26" ht="15" hidden="0" customHeight="1">
      <x:c r="A26" s="38" t="str">
        <x:v>train</x:v>
      </x:c>
      <x:c r="B26" s="38" t="str">
        <x:v>easy</x:v>
      </x:c>
      <x:c r="C26" s="38" t="str">
        <x:v>temporal_gap</x:v>
      </x:c>
      <x:c r="D26" s="45" t="n">
        <x:v>0.01029309436</x:v>
      </x:c>
      <x:c r="E26" s="45" t="n">
        <x:v>0.01029309436</x:v>
      </x:c>
      <x:c r="F26" s="45" t="n">
        <x:v>0.1</x:v>
      </x:c>
      <x:c r="G26" s="58" t="b">
        <x:v>1</x:v>
      </x:c>
    </x:row>
    <x:row r="27" ht="15" hidden="0" customHeight="1">
      <x:c r="A27" s="38" t="str">
        <x:v>dev</x:v>
      </x:c>
      <x:c r="B27" s="38" t="str">
        <x:v>hard</x:v>
      </x:c>
      <x:c r="C27" s="38" t="str">
        <x:v>frame_a</x:v>
      </x:c>
      <x:c r="D27" s="45" t="n">
        <x:v>0.000956601598</x:v>
      </x:c>
      <x:c r="E27" s="45" t="n">
        <x:v>0.008173020457</x:v>
      </x:c>
      <x:c r="F27" s="45" t="n">
        <x:v>0.1</x:v>
      </x:c>
      <x:c r="G27" s="58" t="b">
        <x:v>1</x:v>
      </x:c>
    </x:row>
    <x:row r="28" ht="15" hidden="0" customHeight="1">
      <x:c r="A28" s="38" t="str">
        <x:v>dev</x:v>
      </x:c>
      <x:c r="B28" s="38" t="str">
        <x:v>hard</x:v>
      </x:c>
      <x:c r="C28" s="38" t="str">
        <x:v>frame_b</x:v>
      </x:c>
      <x:c r="D28" s="45" t="n">
        <x:v>0.007441262365</x:v>
      </x:c>
      <x:c r="E28" s="45" t="n">
        <x:v>0.008173020457</x:v>
      </x:c>
      <x:c r="F28" s="45" t="n">
        <x:v>0.1</x:v>
      </x:c>
      <x:c r="G28" s="58" t="b">
        <x:v>1</x:v>
      </x:c>
    </x:row>
    <x:row r="29" ht="15" hidden="0" customHeight="1">
      <x:c r="A29" s="38" t="str">
        <x:v>dev</x:v>
      </x:c>
      <x:c r="B29" s="38" t="str">
        <x:v>hard</x:v>
      </x:c>
      <x:c r="C29" s="38" t="str">
        <x:v>log_crop_height_a</x:v>
      </x:c>
      <x:c r="D29" s="45" t="n">
        <x:v>0.0000048853</x:v>
      </x:c>
      <x:c r="E29" s="45" t="n">
        <x:v>0.008173020457</x:v>
      </x:c>
      <x:c r="F29" s="45" t="n">
        <x:v>0.1</x:v>
      </x:c>
      <x:c r="G29" s="58" t="b">
        <x:v>1</x:v>
      </x:c>
    </x:row>
    <x:row r="30" ht="15" hidden="0" customHeight="1">
      <x:c r="A30" s="38" t="str">
        <x:v>dev</x:v>
      </x:c>
      <x:c r="B30" s="38" t="str">
        <x:v>hard</x:v>
      </x:c>
      <x:c r="C30" s="38" t="str">
        <x:v>log_crop_height_b</x:v>
      </x:c>
      <x:c r="D30" s="45" t="n">
        <x:v>0.000205186641</x:v>
      </x:c>
      <x:c r="E30" s="45" t="n">
        <x:v>0.008173020457</x:v>
      </x:c>
      <x:c r="F30" s="45" t="n">
        <x:v>0.1</x:v>
      </x:c>
      <x:c r="G30" s="58" t="b">
        <x:v>1</x:v>
      </x:c>
    </x:row>
    <x:row r="31" ht="15" hidden="0" customHeight="1">
      <x:c r="A31" s="38" t="str">
        <x:v>dev</x:v>
      </x:c>
      <x:c r="B31" s="38" t="str">
        <x:v>hard</x:v>
      </x:c>
      <x:c r="C31" s="38" t="str">
        <x:v>log_crop_width_a</x:v>
      </x:c>
      <x:c r="D31" s="45" t="n">
        <x:v>0.000229491297</x:v>
      </x:c>
      <x:c r="E31" s="45" t="n">
        <x:v>0.008173020457</x:v>
      </x:c>
      <x:c r="F31" s="45" t="n">
        <x:v>0.1</x:v>
      </x:c>
      <x:c r="G31" s="58" t="b">
        <x:v>1</x:v>
      </x:c>
    </x:row>
    <x:row r="32" ht="15" hidden="0" customHeight="1">
      <x:c r="A32" s="38" t="str">
        <x:v>dev</x:v>
      </x:c>
      <x:c r="B32" s="38" t="str">
        <x:v>hard</x:v>
      </x:c>
      <x:c r="C32" s="38" t="str">
        <x:v>log_crop_width_b</x:v>
      </x:c>
      <x:c r="D32" s="45" t="n">
        <x:v>0.000135237984</x:v>
      </x:c>
      <x:c r="E32" s="45" t="n">
        <x:v>0.008173020457</x:v>
      </x:c>
      <x:c r="F32" s="45" t="n">
        <x:v>0.1</x:v>
      </x:c>
      <x:c r="G32" s="58" t="b">
        <x:v>1</x:v>
      </x:c>
    </x:row>
    <x:row r="33" ht="15" hidden="0" customHeight="1">
      <x:c r="A33" s="38" t="str">
        <x:v>dev</x:v>
      </x:c>
      <x:c r="B33" s="38" t="str">
        <x:v>hard</x:v>
      </x:c>
      <x:c r="C33" s="38" t="str">
        <x:v>log_mask_area_a</x:v>
      </x:c>
      <x:c r="D33" s="45" t="n">
        <x:v>0.000302604333</x:v>
      </x:c>
      <x:c r="E33" s="45" t="n">
        <x:v>0.008173020457</x:v>
      </x:c>
      <x:c r="F33" s="45" t="n">
        <x:v>0.1</x:v>
      </x:c>
      <x:c r="G33" s="58" t="b">
        <x:v>1</x:v>
      </x:c>
    </x:row>
    <x:row r="34" ht="15" hidden="0" customHeight="1">
      <x:c r="A34" s="38" t="str">
        <x:v>dev</x:v>
      </x:c>
      <x:c r="B34" s="38" t="str">
        <x:v>hard</x:v>
      </x:c>
      <x:c r="C34" s="38" t="str">
        <x:v>log_mask_area_b</x:v>
      </x:c>
      <x:c r="D34" s="45" t="n">
        <x:v>0.000794235342</x:v>
      </x:c>
      <x:c r="E34" s="45" t="n">
        <x:v>0.008173020457</x:v>
      </x:c>
      <x:c r="F34" s="45" t="n">
        <x:v>0.1</x:v>
      </x:c>
      <x:c r="G34" s="58" t="b">
        <x:v>1</x:v>
      </x:c>
    </x:row>
    <x:row r="35" ht="15" hidden="0" customHeight="1">
      <x:c r="A35" s="38" t="str">
        <x:v>dev</x:v>
      </x:c>
      <x:c r="B35" s="38" t="str">
        <x:v>hard</x:v>
      </x:c>
      <x:c r="C35" s="38" t="str">
        <x:v>log_visibility_a</x:v>
      </x:c>
      <x:c r="D35" s="45" t="n">
        <x:v>0.00056799071</x:v>
      </x:c>
      <x:c r="E35" s="45" t="n">
        <x:v>0.008173020457</x:v>
      </x:c>
      <x:c r="F35" s="45" t="n">
        <x:v>0.1</x:v>
      </x:c>
      <x:c r="G35" s="58" t="b">
        <x:v>1</x:v>
      </x:c>
    </x:row>
    <x:row r="36" ht="15" hidden="0" customHeight="1">
      <x:c r="A36" s="38" t="str">
        <x:v>dev</x:v>
      </x:c>
      <x:c r="B36" s="38" t="str">
        <x:v>hard</x:v>
      </x:c>
      <x:c r="C36" s="38" t="str">
        <x:v>log_visibility_b</x:v>
      </x:c>
      <x:c r="D36" s="45" t="n">
        <x:v>0.000968959422</x:v>
      </x:c>
      <x:c r="E36" s="45" t="n">
        <x:v>0.008173020457</x:v>
      </x:c>
      <x:c r="F36" s="45" t="n">
        <x:v>0.1</x:v>
      </x:c>
      <x:c r="G36" s="58" t="b">
        <x:v>1</x:v>
      </x:c>
    </x:row>
    <x:row r="37" ht="15" hidden="0" customHeight="1">
      <x:c r="A37" s="38" t="str">
        <x:v>dev</x:v>
      </x:c>
      <x:c r="B37" s="38" t="str">
        <x:v>hard</x:v>
      </x:c>
      <x:c r="C37" s="38" t="str">
        <x:v>temporal_gap</x:v>
      </x:c>
      <x:c r="D37" s="45" t="n">
        <x:v>0.008173020457</x:v>
      </x:c>
      <x:c r="E37" s="45" t="n">
        <x:v>0.008173020457</x:v>
      </x:c>
      <x:c r="F37" s="45" t="n">
        <x:v>0.1</x:v>
      </x:c>
      <x:c r="G37" s="58" t="b">
        <x:v>1</x:v>
      </x:c>
    </x:row>
    <x:row r="38" ht="15" hidden="0" customHeight="1">
      <x:c r="A38" s="38" t="str">
        <x:v>dev</x:v>
      </x:c>
      <x:c r="B38" s="38" t="str">
        <x:v>easy</x:v>
      </x:c>
      <x:c r="C38" s="38" t="str">
        <x:v>frame_a</x:v>
      </x:c>
      <x:c r="D38" s="45" t="n">
        <x:v>0.000964266391</x:v>
      </x:c>
      <x:c r="E38" s="45" t="n">
        <x:v>0.008226431968</x:v>
      </x:c>
      <x:c r="F38" s="45" t="n">
        <x:v>0.1</x:v>
      </x:c>
      <x:c r="G38" s="58" t="b">
        <x:v>1</x:v>
      </x:c>
    </x:row>
    <x:row r="39" ht="15" hidden="0" customHeight="1">
      <x:c r="A39" s="38" t="str">
        <x:v>dev</x:v>
      </x:c>
      <x:c r="B39" s="38" t="str">
        <x:v>easy</x:v>
      </x:c>
      <x:c r="C39" s="38" t="str">
        <x:v>frame_b</x:v>
      </x:c>
      <x:c r="D39" s="45" t="n">
        <x:v>0.007484764765</x:v>
      </x:c>
      <x:c r="E39" s="45" t="n">
        <x:v>0.008226431968</x:v>
      </x:c>
      <x:c r="F39" s="45" t="n">
        <x:v>0.1</x:v>
      </x:c>
      <x:c r="G39" s="58" t="b">
        <x:v>1</x:v>
      </x:c>
    </x:row>
    <x:row r="40" ht="15" hidden="0" customHeight="1">
      <x:c r="A40" s="38" t="str">
        <x:v>dev</x:v>
      </x:c>
      <x:c r="B40" s="38" t="str">
        <x:v>easy</x:v>
      </x:c>
      <x:c r="C40" s="38" t="str">
        <x:v>log_crop_height_a</x:v>
      </x:c>
      <x:c r="D40" s="45" t="n">
        <x:v>0.000021782427</x:v>
      </x:c>
      <x:c r="E40" s="45" t="n">
        <x:v>0.008226431968</x:v>
      </x:c>
      <x:c r="F40" s="45" t="n">
        <x:v>0.1</x:v>
      </x:c>
      <x:c r="G40" s="58" t="b">
        <x:v>1</x:v>
      </x:c>
    </x:row>
    <x:row r="41" ht="15" hidden="0" customHeight="1">
      <x:c r="A41" s="38" t="str">
        <x:v>dev</x:v>
      </x:c>
      <x:c r="B41" s="38" t="str">
        <x:v>easy</x:v>
      </x:c>
      <x:c r="C41" s="38" t="str">
        <x:v>log_crop_height_b</x:v>
      </x:c>
      <x:c r="D41" s="45" t="n">
        <x:v>0.000107708301</x:v>
      </x:c>
      <x:c r="E41" s="45" t="n">
        <x:v>0.008226431968</x:v>
      </x:c>
      <x:c r="F41" s="45" t="n">
        <x:v>0.1</x:v>
      </x:c>
      <x:c r="G41" s="58" t="b">
        <x:v>1</x:v>
      </x:c>
    </x:row>
    <x:row r="42" ht="15" hidden="0" customHeight="1">
      <x:c r="A42" s="38" t="str">
        <x:v>dev</x:v>
      </x:c>
      <x:c r="B42" s="38" t="str">
        <x:v>easy</x:v>
      </x:c>
      <x:c r="C42" s="38" t="str">
        <x:v>log_crop_width_a</x:v>
      </x:c>
      <x:c r="D42" s="45" t="n">
        <x:v>0.000177873398</x:v>
      </x:c>
      <x:c r="E42" s="45" t="n">
        <x:v>0.008226431968</x:v>
      </x:c>
      <x:c r="F42" s="45" t="n">
        <x:v>0.1</x:v>
      </x:c>
      <x:c r="G42" s="58" t="b">
        <x:v>1</x:v>
      </x:c>
    </x:row>
    <x:row r="43" ht="15" hidden="0" customHeight="1">
      <x:c r="A43" s="38" t="str">
        <x:v>dev</x:v>
      </x:c>
      <x:c r="B43" s="38" t="str">
        <x:v>easy</x:v>
      </x:c>
      <x:c r="C43" s="38" t="str">
        <x:v>log_crop_width_b</x:v>
      </x:c>
      <x:c r="D43" s="45" t="n">
        <x:v>0.000116975278</x:v>
      </x:c>
      <x:c r="E43" s="45" t="n">
        <x:v>0.008226431968</x:v>
      </x:c>
      <x:c r="F43" s="45" t="n">
        <x:v>0.1</x:v>
      </x:c>
      <x:c r="G43" s="58" t="b">
        <x:v>1</x:v>
      </x:c>
    </x:row>
    <x:row r="44" ht="15" hidden="0" customHeight="1">
      <x:c r="A44" s="38" t="str">
        <x:v>dev</x:v>
      </x:c>
      <x:c r="B44" s="38" t="str">
        <x:v>easy</x:v>
      </x:c>
      <x:c r="C44" s="38" t="str">
        <x:v>log_mask_area_a</x:v>
      </x:c>
      <x:c r="D44" s="45" t="n">
        <x:v>0.000223179921</x:v>
      </x:c>
      <x:c r="E44" s="45" t="n">
        <x:v>0.008226431968</x:v>
      </x:c>
      <x:c r="F44" s="45" t="n">
        <x:v>0.1</x:v>
      </x:c>
      <x:c r="G44" s="58" t="b">
        <x:v>1</x:v>
      </x:c>
    </x:row>
    <x:row r="45" ht="15" hidden="0" customHeight="1">
      <x:c r="A45" s="38" t="str">
        <x:v>dev</x:v>
      </x:c>
      <x:c r="B45" s="38" t="str">
        <x:v>easy</x:v>
      </x:c>
      <x:c r="C45" s="38" t="str">
        <x:v>log_mask_area_b</x:v>
      </x:c>
      <x:c r="D45" s="45" t="n">
        <x:v>0.000424668028</x:v>
      </x:c>
      <x:c r="E45" s="45" t="n">
        <x:v>0.008226431968</x:v>
      </x:c>
      <x:c r="F45" s="45" t="n">
        <x:v>0.1</x:v>
      </x:c>
      <x:c r="G45" s="58" t="b">
        <x:v>1</x:v>
      </x:c>
    </x:row>
    <x:row r="46" ht="15" hidden="0" customHeight="1">
      <x:c r="A46" s="38" t="str">
        <x:v>dev</x:v>
      </x:c>
      <x:c r="B46" s="38" t="str">
        <x:v>easy</x:v>
      </x:c>
      <x:c r="C46" s="38" t="str">
        <x:v>log_visibility_a</x:v>
      </x:c>
      <x:c r="D46" s="45" t="n">
        <x:v>0.000289407981</x:v>
      </x:c>
      <x:c r="E46" s="45" t="n">
        <x:v>0.008226431968</x:v>
      </x:c>
      <x:c r="F46" s="45" t="n">
        <x:v>0.1</x:v>
      </x:c>
      <x:c r="G46" s="58" t="b">
        <x:v>1</x:v>
      </x:c>
    </x:row>
    <x:row r="47" ht="15" hidden="0" customHeight="1">
      <x:c r="A47" s="38" t="str">
        <x:v>dev</x:v>
      </x:c>
      <x:c r="B47" s="38" t="str">
        <x:v>easy</x:v>
      </x:c>
      <x:c r="C47" s="38" t="str">
        <x:v>log_visibility_b</x:v>
      </x:c>
      <x:c r="D47" s="45" t="n">
        <x:v>0.000386425088</x:v>
      </x:c>
      <x:c r="E47" s="45" t="n">
        <x:v>0.008226431968</x:v>
      </x:c>
      <x:c r="F47" s="45" t="n">
        <x:v>0.1</x:v>
      </x:c>
      <x:c r="G47" s="58" t="b">
        <x:v>1</x:v>
      </x:c>
    </x:row>
    <x:row r="48" ht="15" hidden="0" customHeight="1">
      <x:c r="A48" s="38" t="str">
        <x:v>dev</x:v>
      </x:c>
      <x:c r="B48" s="38" t="str">
        <x:v>easy</x:v>
      </x:c>
      <x:c r="C48" s="38" t="str">
        <x:v>temporal_gap</x:v>
      </x:c>
      <x:c r="D48" s="45" t="n">
        <x:v>0.008226431968</x:v>
      </x:c>
      <x:c r="E48" s="45" t="n">
        <x:v>0.008226431968</x:v>
      </x:c>
      <x:c r="F48" s="45" t="n">
        <x:v>0.1</x:v>
      </x:c>
      <x:c r="G48" s="58" t="b">
        <x:v>1</x:v>
      </x:c>
    </x:row>
    <x:row r="49" ht="15" hidden="0" customHeight="1">
      <x:c r="A49" s="38" t="str">
        <x:v>test</x:v>
      </x:c>
      <x:c r="B49" s="38" t="str">
        <x:v>hard</x:v>
      </x:c>
      <x:c r="C49" s="38" t="str">
        <x:v>frame_a</x:v>
      </x:c>
      <x:c r="D49" s="45" t="n">
        <x:v>0.039033846046</x:v>
      </x:c>
      <x:c r="E49" s="45" t="n">
        <x:v>0.039033846046</x:v>
      </x:c>
      <x:c r="F49" s="45" t="n">
        <x:v>0.1</x:v>
      </x:c>
      <x:c r="G49" s="58" t="b">
        <x:v>1</x:v>
      </x:c>
    </x:row>
    <x:row r="50" ht="15" hidden="0" customHeight="1">
      <x:c r="A50" s="38" t="str">
        <x:v>test</x:v>
      </x:c>
      <x:c r="B50" s="38" t="str">
        <x:v>hard</x:v>
      </x:c>
      <x:c r="C50" s="38" t="str">
        <x:v>frame_b</x:v>
      </x:c>
      <x:c r="D50" s="45" t="n">
        <x:v>0.030033744801</x:v>
      </x:c>
      <x:c r="E50" s="45" t="n">
        <x:v>0.039033846046</x:v>
      </x:c>
      <x:c r="F50" s="45" t="n">
        <x:v>0.1</x:v>
      </x:c>
      <x:c r="G50" s="58" t="b">
        <x:v>1</x:v>
      </x:c>
    </x:row>
    <x:row r="51" ht="15" hidden="0" customHeight="1">
      <x:c r="A51" s="38" t="str">
        <x:v>test</x:v>
      </x:c>
      <x:c r="B51" s="38" t="str">
        <x:v>hard</x:v>
      </x:c>
      <x:c r="C51" s="38" t="str">
        <x:v>log_crop_height_a</x:v>
      </x:c>
      <x:c r="D51" s="45" t="n">
        <x:v>0.000083654609</x:v>
      </x:c>
      <x:c r="E51" s="45" t="n">
        <x:v>0.039033846046</x:v>
      </x:c>
      <x:c r="F51" s="45" t="n">
        <x:v>0.1</x:v>
      </x:c>
      <x:c r="G51" s="58" t="b">
        <x:v>1</x:v>
      </x:c>
    </x:row>
    <x:row r="52" ht="15" hidden="0" customHeight="1">
      <x:c r="A52" s="38" t="str">
        <x:v>test</x:v>
      </x:c>
      <x:c r="B52" s="38" t="str">
        <x:v>hard</x:v>
      </x:c>
      <x:c r="C52" s="38" t="str">
        <x:v>log_crop_height_b</x:v>
      </x:c>
      <x:c r="D52" s="45" t="n">
        <x:v>0.00029948383</x:v>
      </x:c>
      <x:c r="E52" s="45" t="n">
        <x:v>0.039033846046</x:v>
      </x:c>
      <x:c r="F52" s="45" t="n">
        <x:v>0.1</x:v>
      </x:c>
      <x:c r="G52" s="58" t="b">
        <x:v>1</x:v>
      </x:c>
    </x:row>
    <x:row r="53" ht="15" hidden="0" customHeight="1">
      <x:c r="A53" s="38" t="str">
        <x:v>test</x:v>
      </x:c>
      <x:c r="B53" s="38" t="str">
        <x:v>hard</x:v>
      </x:c>
      <x:c r="C53" s="38" t="str">
        <x:v>log_crop_width_a</x:v>
      </x:c>
      <x:c r="D53" s="45" t="n">
        <x:v>0.000113131336</x:v>
      </x:c>
      <x:c r="E53" s="45" t="n">
        <x:v>0.039033846046</x:v>
      </x:c>
      <x:c r="F53" s="45" t="n">
        <x:v>0.1</x:v>
      </x:c>
      <x:c r="G53" s="58" t="b">
        <x:v>1</x:v>
      </x:c>
    </x:row>
    <x:row r="54" ht="15" hidden="0" customHeight="1">
      <x:c r="A54" s="38" t="str">
        <x:v>test</x:v>
      </x:c>
      <x:c r="B54" s="38" t="str">
        <x:v>hard</x:v>
      </x:c>
      <x:c r="C54" s="38" t="str">
        <x:v>log_crop_width_b</x:v>
      </x:c>
      <x:c r="D54" s="45" t="n">
        <x:v>0.000090014628</x:v>
      </x:c>
      <x:c r="E54" s="45" t="n">
        <x:v>0.039033846046</x:v>
      </x:c>
      <x:c r="F54" s="45" t="n">
        <x:v>0.1</x:v>
      </x:c>
      <x:c r="G54" s="58" t="b">
        <x:v>1</x:v>
      </x:c>
    </x:row>
    <x:row r="55" ht="15" hidden="0" customHeight="1">
      <x:c r="A55" s="38" t="str">
        <x:v>test</x:v>
      </x:c>
      <x:c r="B55" s="38" t="str">
        <x:v>hard</x:v>
      </x:c>
      <x:c r="C55" s="38" t="str">
        <x:v>log_mask_area_a</x:v>
      </x:c>
      <x:c r="D55" s="45" t="n">
        <x:v>0.000586841838</x:v>
      </x:c>
      <x:c r="E55" s="45" t="n">
        <x:v>0.039033846046</x:v>
      </x:c>
      <x:c r="F55" s="45" t="n">
        <x:v>0.1</x:v>
      </x:c>
      <x:c r="G55" s="58" t="b">
        <x:v>1</x:v>
      </x:c>
    </x:row>
    <x:row r="56" ht="15" hidden="0" customHeight="1">
      <x:c r="A56" s="38" t="str">
        <x:v>test</x:v>
      </x:c>
      <x:c r="B56" s="38" t="str">
        <x:v>hard</x:v>
      </x:c>
      <x:c r="C56" s="38" t="str">
        <x:v>log_mask_area_b</x:v>
      </x:c>
      <x:c r="D56" s="45" t="n">
        <x:v>0.001132794588</x:v>
      </x:c>
      <x:c r="E56" s="45" t="n">
        <x:v>0.039033846046</x:v>
      </x:c>
      <x:c r="F56" s="45" t="n">
        <x:v>0.1</x:v>
      </x:c>
      <x:c r="G56" s="58" t="b">
        <x:v>1</x:v>
      </x:c>
    </x:row>
    <x:row r="57" ht="15" hidden="0" customHeight="1">
      <x:c r="A57" s="38" t="str">
        <x:v>test</x:v>
      </x:c>
      <x:c r="B57" s="38" t="str">
        <x:v>hard</x:v>
      </x:c>
      <x:c r="C57" s="38" t="str">
        <x:v>log_visibility_a</x:v>
      </x:c>
      <x:c r="D57" s="45" t="n">
        <x:v>0.00081148953</x:v>
      </x:c>
      <x:c r="E57" s="45" t="n">
        <x:v>0.039033846046</x:v>
      </x:c>
      <x:c r="F57" s="45" t="n">
        <x:v>0.1</x:v>
      </x:c>
      <x:c r="G57" s="58" t="b">
        <x:v>1</x:v>
      </x:c>
    </x:row>
    <x:row r="58" ht="15" hidden="0" customHeight="1">
      <x:c r="A58" s="38" t="str">
        <x:v>test</x:v>
      </x:c>
      <x:c r="B58" s="38" t="str">
        <x:v>hard</x:v>
      </x:c>
      <x:c r="C58" s="38" t="str">
        <x:v>log_visibility_b</x:v>
      </x:c>
      <x:c r="D58" s="45" t="n">
        <x:v>0.000604702426</x:v>
      </x:c>
      <x:c r="E58" s="45" t="n">
        <x:v>0.039033846046</x:v>
      </x:c>
      <x:c r="F58" s="45" t="n">
        <x:v>0.1</x:v>
      </x:c>
      <x:c r="G58" s="58" t="b">
        <x:v>1</x:v>
      </x:c>
    </x:row>
    <x:row r="59" ht="15" hidden="0" customHeight="1">
      <x:c r="A59" s="38" t="str">
        <x:v>test</x:v>
      </x:c>
      <x:c r="B59" s="38" t="str">
        <x:v>hard</x:v>
      </x:c>
      <x:c r="C59" s="38" t="str">
        <x:v>temporal_gap</x:v>
      </x:c>
      <x:c r="D59" s="45" t="n">
        <x:v>0.008019050277</x:v>
      </x:c>
      <x:c r="E59" s="45" t="n">
        <x:v>0.039033846046</x:v>
      </x:c>
      <x:c r="F59" s="45" t="n">
        <x:v>0.1</x:v>
      </x:c>
      <x:c r="G59" s="58" t="b">
        <x:v>1</x:v>
      </x:c>
    </x:row>
    <x:row r="60" ht="15" hidden="0" customHeight="1">
      <x:c r="A60" s="38" t="str">
        <x:v>test</x:v>
      </x:c>
      <x:c r="B60" s="38" t="str">
        <x:v>easy</x:v>
      </x:c>
      <x:c r="C60" s="38" t="str">
        <x:v>frame_a</x:v>
      </x:c>
      <x:c r="D60" s="45" t="n">
        <x:v>0.038527834558</x:v>
      </x:c>
      <x:c r="E60" s="45" t="n">
        <x:v>0.038527834558</x:v>
      </x:c>
      <x:c r="F60" s="45" t="n">
        <x:v>0.1</x:v>
      </x:c>
      <x:c r="G60" s="58" t="b">
        <x:v>1</x:v>
      </x:c>
    </x:row>
    <x:row r="61" ht="15" hidden="0" customHeight="1">
      <x:c r="A61" s="38" t="str">
        <x:v>test</x:v>
      </x:c>
      <x:c r="B61" s="38" t="str">
        <x:v>easy</x:v>
      </x:c>
      <x:c r="C61" s="38" t="str">
        <x:v>frame_b</x:v>
      </x:c>
      <x:c r="D61" s="45" t="n">
        <x:v>0.030305406136</x:v>
      </x:c>
      <x:c r="E61" s="45" t="n">
        <x:v>0.038527834558</x:v>
      </x:c>
      <x:c r="F61" s="45" t="n">
        <x:v>0.1</x:v>
      </x:c>
      <x:c r="G61" s="58" t="b">
        <x:v>1</x:v>
      </x:c>
    </x:row>
    <x:row r="62" ht="15" hidden="0" customHeight="1">
      <x:c r="A62" s="38" t="str">
        <x:v>test</x:v>
      </x:c>
      <x:c r="B62" s="38" t="str">
        <x:v>easy</x:v>
      </x:c>
      <x:c r="C62" s="38" t="str">
        <x:v>log_crop_height_a</x:v>
      </x:c>
      <x:c r="D62" s="45" t="n">
        <x:v>0.000047811905</x:v>
      </x:c>
      <x:c r="E62" s="45" t="n">
        <x:v>0.038527834558</x:v>
      </x:c>
      <x:c r="F62" s="45" t="n">
        <x:v>0.1</x:v>
      </x:c>
      <x:c r="G62" s="58" t="b">
        <x:v>1</x:v>
      </x:c>
    </x:row>
    <x:row r="63" ht="15" hidden="0" customHeight="1">
      <x:c r="A63" s="38" t="str">
        <x:v>test</x:v>
      </x:c>
      <x:c r="B63" s="38" t="str">
        <x:v>easy</x:v>
      </x:c>
      <x:c r="C63" s="38" t="str">
        <x:v>log_crop_height_b</x:v>
      </x:c>
      <x:c r="D63" s="45" t="n">
        <x:v>0.000085041021</x:v>
      </x:c>
      <x:c r="E63" s="45" t="n">
        <x:v>0.038527834558</x:v>
      </x:c>
      <x:c r="F63" s="45" t="n">
        <x:v>0.1</x:v>
      </x:c>
      <x:c r="G63" s="58" t="b">
        <x:v>1</x:v>
      </x:c>
    </x:row>
    <x:row r="64" ht="15" hidden="0" customHeight="1">
      <x:c r="A64" s="38" t="str">
        <x:v>test</x:v>
      </x:c>
      <x:c r="B64" s="38" t="str">
        <x:v>easy</x:v>
      </x:c>
      <x:c r="C64" s="38" t="str">
        <x:v>log_crop_width_a</x:v>
      </x:c>
      <x:c r="D64" s="45" t="n">
        <x:v>0.000052392437</x:v>
      </x:c>
      <x:c r="E64" s="45" t="n">
        <x:v>0.038527834558</x:v>
      </x:c>
      <x:c r="F64" s="45" t="n">
        <x:v>0.1</x:v>
      </x:c>
      <x:c r="G64" s="58" t="b">
        <x:v>1</x:v>
      </x:c>
    </x:row>
    <x:row r="65" ht="15" hidden="0" customHeight="1">
      <x:c r="A65" s="38" t="str">
        <x:v>test</x:v>
      </x:c>
      <x:c r="B65" s="38" t="str">
        <x:v>easy</x:v>
      </x:c>
      <x:c r="C65" s="38" t="str">
        <x:v>log_crop_width_b</x:v>
      </x:c>
      <x:c r="D65" s="45" t="n">
        <x:v>0.000008194679</x:v>
      </x:c>
      <x:c r="E65" s="45" t="n">
        <x:v>0.038527834558</x:v>
      </x:c>
      <x:c r="F65" s="45" t="n">
        <x:v>0.1</x:v>
      </x:c>
      <x:c r="G65" s="58" t="b">
        <x:v>1</x:v>
      </x:c>
    </x:row>
    <x:row r="66" ht="15" hidden="0" customHeight="1">
      <x:c r="A66" s="38" t="str">
        <x:v>test</x:v>
      </x:c>
      <x:c r="B66" s="38" t="str">
        <x:v>easy</x:v>
      </x:c>
      <x:c r="C66" s="38" t="str">
        <x:v>log_mask_area_a</x:v>
      </x:c>
      <x:c r="D66" s="45" t="n">
        <x:v>0.000016933274</x:v>
      </x:c>
      <x:c r="E66" s="45" t="n">
        <x:v>0.038527834558</x:v>
      </x:c>
      <x:c r="F66" s="45" t="n">
        <x:v>0.1</x:v>
      </x:c>
      <x:c r="G66" s="58" t="b">
        <x:v>1</x:v>
      </x:c>
    </x:row>
    <x:row r="67" ht="15" hidden="0" customHeight="1">
      <x:c r="A67" s="38" t="str">
        <x:v>test</x:v>
      </x:c>
      <x:c r="B67" s="38" t="str">
        <x:v>easy</x:v>
      </x:c>
      <x:c r="C67" s="38" t="str">
        <x:v>log_mask_area_b</x:v>
      </x:c>
      <x:c r="D67" s="45" t="n">
        <x:v>0.000496877357</x:v>
      </x:c>
      <x:c r="E67" s="45" t="n">
        <x:v>0.038527834558</x:v>
      </x:c>
      <x:c r="F67" s="45" t="n">
        <x:v>0.1</x:v>
      </x:c>
      <x:c r="G67" s="58" t="b">
        <x:v>1</x:v>
      </x:c>
    </x:row>
    <x:row r="68" ht="15" hidden="0" customHeight="1">
      <x:c r="A68" s="38" t="str">
        <x:v>test</x:v>
      </x:c>
      <x:c r="B68" s="38" t="str">
        <x:v>easy</x:v>
      </x:c>
      <x:c r="C68" s="38" t="str">
        <x:v>log_visibility_a</x:v>
      </x:c>
      <x:c r="D68" s="45" t="n">
        <x:v>0.00004677261</x:v>
      </x:c>
      <x:c r="E68" s="45" t="n">
        <x:v>0.038527834558</x:v>
      </x:c>
      <x:c r="F68" s="45" t="n">
        <x:v>0.1</x:v>
      </x:c>
      <x:c r="G68" s="58" t="b">
        <x:v>1</x:v>
      </x:c>
    </x:row>
    <x:row r="69" ht="15" hidden="0" customHeight="1">
      <x:c r="A69" s="38" t="str">
        <x:v>test</x:v>
      </x:c>
      <x:c r="B69" s="38" t="str">
        <x:v>easy</x:v>
      </x:c>
      <x:c r="C69" s="38" t="str">
        <x:v>log_visibility_b</x:v>
      </x:c>
      <x:c r="D69" s="45" t="n">
        <x:v>0.000459747544</x:v>
      </x:c>
      <x:c r="E69" s="45" t="n">
        <x:v>0.038527834558</x:v>
      </x:c>
      <x:c r="F69" s="45" t="n">
        <x:v>0.1</x:v>
      </x:c>
      <x:c r="G69" s="58" t="b">
        <x:v>1</x:v>
      </x:c>
    </x:row>
    <x:row r="70" ht="15" hidden="0" customHeight="1">
      <x:c r="A70" s="39" t="str">
        <x:v>test</x:v>
      </x:c>
      <x:c r="B70" s="39" t="str">
        <x:v>easy</x:v>
      </x:c>
      <x:c r="C70" s="39" t="str">
        <x:v>temporal_gap</x:v>
      </x:c>
      <x:c r="D70" s="46" t="n">
        <x:v>0.00805474519</x:v>
      </x:c>
      <x:c r="E70" s="46" t="n">
        <x:v>0.038527834558</x:v>
      </x:c>
      <x:c r="F70" s="46" t="n">
        <x:v>0.1</x:v>
      </x:c>
      <x:c r="G70" s="59" t="b">
        <x:v>1</x:v>
      </x:c>
    </x:row>
  </x:sheetData>
  <x:mergeCells>
    <x:mergeCell ref="A1:G1"/>
    <x:mergeCell ref="A2:G2"/>
  </x:mergeCells>
  <x:conditionalFormatting sqref="G5:G70">
    <x:cfRule type="cellIs" dxfId="1" priority="1" operator="equal">
      <x:formula>TRUE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32" hidden="0" customWidth="1"/>
    <x:col min="4" max="4" width="9.109999656677246" hidden="0" customWidth="1"/>
    <x:col min="5" max="5" width="20" hidden="0" customWidth="1"/>
  </x:cols>
  <x:sheetData>
    <x:row r="1" ht="19.200000762939453" hidden="0" customHeight="1">
      <x:c r="A1" s="40" t="str">
        <x:v>Measured latency components</x:v>
      </x:c>
      <x:c r="B1" s="32"/>
      <x:c r="C1" s="32"/>
      <x:c r="D1" s="32"/>
      <x:c r="E1" s="32"/>
    </x:row>
    <x:row r="2" ht="15" hidden="0" customHeight="1">
      <x:c r="A2" s="33" t="str">
        <x:v>Encoder wall/forward timings were measured per crop; batched logistic scoring timings were measured per pair on the recorded CPU runtime.</x:v>
      </x:c>
      <x:c r="B2" s="32"/>
      <x:c r="C2" s="32"/>
      <x:c r="D2" s="32"/>
      <x:c r="E2" s="32"/>
    </x:row>
    <x:row r="3" ht="15" hidden="0" customHeight="1">
      <x:c r="A3" s="32"/>
      <x:c r="B3" s="32"/>
      <x:c r="C3" s="32"/>
      <x:c r="D3" s="32"/>
      <x:c r="E3" s="32"/>
    </x:row>
    <x:row r="4" ht="15" hidden="0" customHeight="1">
      <x:c r="A4" s="41" t="str">
        <x:v>Component</x:v>
      </x:c>
      <x:c r="B4" s="42" t="str">
        <x:v>Configuration</x:v>
      </x:c>
      <x:c r="C4" s="42" t="str">
        <x:v>Statistic</x:v>
      </x:c>
      <x:c r="D4" s="42" t="str">
        <x:v>Value</x:v>
      </x:c>
      <x:c r="E4" s="43" t="str">
        <x:v>Unit</x:v>
      </x:c>
    </x:row>
    <x:row r="5" ht="15" hidden="0" customHeight="1">
      <x:c r="A5" s="37" t="str">
        <x:v>frozen_rgb_encoder</x:v>
      </x:c>
      <x:c r="B5" s="37" t="str">
        <x:v>shared_rgb</x:v>
      </x:c>
      <x:c r="C5" s="37" t="str">
        <x:v>forward_ms_per_crop_p50</x:v>
      </x:c>
      <x:c r="D5" s="44" t="n">
        <x:v>21.401039874945127</x:v>
      </x:c>
      <x:c r="E5" s="37" t="str">
        <x:v>ms/crop</x:v>
      </x:c>
    </x:row>
    <x:row r="6" ht="15" hidden="0" customHeight="1">
      <x:c r="A6" s="38" t="str">
        <x:v>frozen_rgb_encoder</x:v>
      </x:c>
      <x:c r="B6" s="38" t="str">
        <x:v>shared_rgb</x:v>
      </x:c>
      <x:c r="C6" s="38" t="str">
        <x:v>forward_ms_per_crop_p95</x:v>
      </x:c>
      <x:c r="D6" s="45" t="n">
        <x:v>23.072443187629688</x:v>
      </x:c>
      <x:c r="E6" s="38" t="str">
        <x:v>ms/crop</x:v>
      </x:c>
    </x:row>
    <x:row r="7" ht="15" hidden="0" customHeight="1">
      <x:c r="A7" s="38" t="str">
        <x:v>end_to_end_embedding_extraction</x:v>
      </x:c>
      <x:c r="B7" s="38" t="str">
        <x:v>shared_rgb</x:v>
      </x:c>
      <x:c r="C7" s="38" t="str">
        <x:v>wall_ms_per_crop</x:v>
      </x:c>
      <x:c r="D7" s="45" t="n">
        <x:v>24.701612620727786</x:v>
      </x:c>
      <x:c r="E7" s="38" t="str">
        <x:v>ms/crop</x:v>
      </x:c>
    </x:row>
    <x:row r="8" ht="15" hidden="0" customHeight="1">
      <x:c r="A8" s="38" t="str">
        <x:v>logistic_pair_scoring</x:v>
      </x:c>
      <x:c r="B8" s="38" t="str">
        <x:v>A_rgb_only</x:v>
      </x:c>
      <x:c r="C8" s="38" t="str">
        <x:v>microseconds_per_pair_p50</x:v>
      </x:c>
      <x:c r="D8" s="45" t="n">
        <x:v>0.1068335</x:v>
      </x:c>
      <x:c r="E8" s="38" t="str">
        <x:v>microseconds/pair</x:v>
      </x:c>
    </x:row>
    <x:row r="9" ht="15" hidden="0" customHeight="1">
      <x:c r="A9" s="38" t="str">
        <x:v>logistic_pair_scoring</x:v>
      </x:c>
      <x:c r="B9" s="38" t="str">
        <x:v>A_rgb_only</x:v>
      </x:c>
      <x:c r="C9" s="38" t="str">
        <x:v>microseconds_per_pair_p95</x:v>
      </x:c>
      <x:c r="D9" s="45" t="n">
        <x:v>0.1873574</x:v>
      </x:c>
      <x:c r="E9" s="38" t="str">
        <x:v>microseconds/pair</x:v>
      </x:c>
    </x:row>
    <x:row r="10" ht="15" hidden="0" customHeight="1">
      <x:c r="A10" s="38" t="str">
        <x:v>logistic_pair_scoring</x:v>
      </x:c>
      <x:c r="B10" s="38" t="str">
        <x:v>B_rgb_2d</x:v>
      </x:c>
      <x:c r="C10" s="38" t="str">
        <x:v>microseconds_per_pair_p50</x:v>
      </x:c>
      <x:c r="D10" s="45" t="n">
        <x:v>0.155057</x:v>
      </x:c>
      <x:c r="E10" s="38" t="str">
        <x:v>microseconds/pair</x:v>
      </x:c>
    </x:row>
    <x:row r="11" ht="15" hidden="0" customHeight="1">
      <x:c r="A11" s="38" t="str">
        <x:v>logistic_pair_scoring</x:v>
      </x:c>
      <x:c r="B11" s="38" t="str">
        <x:v>B_rgb_2d</x:v>
      </x:c>
      <x:c r="C11" s="38" t="str">
        <x:v>microseconds_per_pair_p95</x:v>
      </x:c>
      <x:c r="D11" s="45" t="n">
        <x:v>0.164589075</x:v>
      </x:c>
      <x:c r="E11" s="38" t="str">
        <x:v>microseconds/pair</x:v>
      </x:c>
    </x:row>
    <x:row r="12" ht="15" hidden="0" customHeight="1">
      <x:c r="A12" s="38" t="str">
        <x:v>logistic_pair_scoring</x:v>
      </x:c>
      <x:c r="B12" s="38" t="str">
        <x:v>C_rgb_2d_3d</x:v>
      </x:c>
      <x:c r="C12" s="38" t="str">
        <x:v>microseconds_per_pair_p50</x:v>
      </x:c>
      <x:c r="D12" s="45" t="n">
        <x:v>0.21675925</x:v>
      </x:c>
      <x:c r="E12" s="38" t="str">
        <x:v>microseconds/pair</x:v>
      </x:c>
    </x:row>
    <x:row r="13" ht="15" hidden="0" customHeight="1">
      <x:c r="A13" s="38" t="str">
        <x:v>logistic_pair_scoring</x:v>
      </x:c>
      <x:c r="B13" s="38" t="str">
        <x:v>C_rgb_2d_3d</x:v>
      </x:c>
      <x:c r="C13" s="38" t="str">
        <x:v>microseconds_per_pair_p95</x:v>
      </x:c>
      <x:c r="D13" s="45" t="n">
        <x:v>0.348740325</x:v>
      </x:c>
      <x:c r="E13" s="38" t="str">
        <x:v>microseconds/pair</x:v>
      </x:c>
    </x:row>
    <x:row r="14" ht="15" hidden="0" customHeight="1">
      <x:c r="A14" s="38" t="str">
        <x:v>logistic_pair_scoring</x:v>
      </x:c>
      <x:c r="B14" s="38" t="str">
        <x:v>geometry_only</x:v>
      </x:c>
      <x:c r="C14" s="38" t="str">
        <x:v>microseconds_per_pair_p50</x:v>
      </x:c>
      <x:c r="D14" s="45" t="n">
        <x:v>0.19709275</x:v>
      </x:c>
      <x:c r="E14" s="38" t="str">
        <x:v>microseconds/pair</x:v>
      </x:c>
    </x:row>
    <x:row r="15" ht="15" hidden="0" customHeight="1">
      <x:c r="A15" s="39" t="str">
        <x:v>logistic_pair_scoring</x:v>
      </x:c>
      <x:c r="B15" s="39" t="str">
        <x:v>geometry_only</x:v>
      </x:c>
      <x:c r="C15" s="39" t="str">
        <x:v>microseconds_per_pair_p95</x:v>
      </x:c>
      <x:c r="D15" s="46" t="n">
        <x:v>0.317428775</x:v>
      </x:c>
      <x:c r="E15" s="39" t="str">
        <x:v>microseconds/pair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13" hidden="0" customWidth="1"/>
    <x:col min="4" max="4" width="11" hidden="0" customWidth="1"/>
    <x:col min="5" max="5" width="13" hidden="0" customWidth="1"/>
    <x:col min="6" max="6" width="11" hidden="0" customWidth="1"/>
    <x:col min="7" max="7" width="15" hidden="0" customWidth="1"/>
    <x:col min="8" max="8" width="13" hidden="0" customWidth="1"/>
    <x:col min="9" max="9" width="18" hidden="0" customWidth="1"/>
    <x:col min="10" max="10" width="11" hidden="0" customWidth="1"/>
    <x:col min="11" max="11" width="19" hidden="0" customWidth="1"/>
    <x:col min="12" max="12" width="11" hidden="0" customWidth="1"/>
  </x:cols>
  <x:sheetData>
    <x:row r="1" ht="19.200000762939453" hidden="0" customHeight="1">
      <x:c r="A1" s="40" t="str">
        <x:v>Per-video macro performance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</x:row>
    <x:row r="2" ht="15" hidden="0" customHeight="1">
      <x:c r="A2" s="33" t="str">
        <x:v>Each test video is evaluated separately, then metrics are averaged equally across the 10 videos; SD is between-video sample SD.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</x:row>
    <x:row r="3" ht="15" hidden="0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</x:row>
    <x:row r="4" ht="15" hidden="0" customHeight="1">
      <x:c r="A4" s="41" t="str">
        <x:v>Configuration</x:v>
      </x:c>
      <x:c r="B4" s="42" t="str">
        <x:v>Videos</x:v>
      </x:c>
      <x:c r="C4" s="42" t="str">
        <x:v>Mean AUROC</x:v>
      </x:c>
      <x:c r="D4" s="42" t="str">
        <x:v>SD AUROC</x:v>
      </x:c>
      <x:c r="E4" s="42" t="str">
        <x:v>Mean PR-AUC</x:v>
      </x:c>
      <x:c r="F4" s="42" t="str">
        <x:v>SD PR-AUC</x:v>
      </x:c>
      <x:c r="G4" s="42" t="str">
        <x:v>Mean F1 locked</x:v>
      </x:c>
      <x:c r="H4" s="42" t="str">
        <x:v>SD F1 locked</x:v>
      </x:c>
      <x:c r="I4" s="42" t="str">
        <x:v>Mean FMR locked 90%</x:v>
      </x:c>
      <x:c r="J4" s="42" t="str">
        <x:v>SD FMR</x:v>
      </x:c>
      <x:c r="K4" s="42" t="str">
        <x:v>Mean achieved recall</x:v>
      </x:c>
      <x:c r="L4" s="43" t="str">
        <x:v>SD recall</x:v>
      </x:c>
    </x:row>
    <x:row r="5" ht="15" hidden="0" customHeight="1">
      <x:c r="A5" s="37" t="str">
        <x:v>A_rgb_only</x:v>
      </x:c>
      <x:c r="B5" s="37" t="n">
        <x:v>10</x:v>
      </x:c>
      <x:c r="C5" s="44" t="n">
        <x:v>0.757155966805</x:v>
      </x:c>
      <x:c r="D5" s="44" t="n">
        <x:v>0.096636711888</x:v>
      </x:c>
      <x:c r="E5" s="44" t="n">
        <x:v>0.778283430474</x:v>
      </x:c>
      <x:c r="F5" s="44" t="n">
        <x:v>0.140264944992</x:v>
      </x:c>
      <x:c r="G5" s="44" t="n">
        <x:v>0.694332272769</x:v>
      </x:c>
      <x:c r="H5" s="44" t="n">
        <x:v>0.097558603103</x:v>
      </x:c>
      <x:c r="I5" s="44" t="n">
        <x:v>0.514874010638</x:v>
      </x:c>
      <x:c r="J5" s="44" t="n">
        <x:v>0.165600810982</x:v>
      </x:c>
      <x:c r="K5" s="44" t="n">
        <x:v>0.847</x:v>
      </x:c>
      <x:c r="L5" s="44" t="n">
        <x:v>0.051650535116</x:v>
      </x:c>
    </x:row>
    <x:row r="6" ht="15" hidden="0" customHeight="1">
      <x:c r="A6" s="38" t="str">
        <x:v>B_rgb_2d</x:v>
      </x:c>
      <x:c r="B6" s="38" t="n">
        <x:v>10</x:v>
      </x:c>
      <x:c r="C6" s="45" t="n">
        <x:v>0.829026698132</x:v>
      </x:c>
      <x:c r="D6" s="45" t="n">
        <x:v>0.072156516568</x:v>
      </x:c>
      <x:c r="E6" s="45" t="n">
        <x:v>0.820519229079</x:v>
      </x:c>
      <x:c r="F6" s="45" t="n">
        <x:v>0.097710451092</x:v>
      </x:c>
      <x:c r="G6" s="45" t="n">
        <x:v>0.770094336727</x:v>
      </x:c>
      <x:c r="H6" s="45" t="n">
        <x:v>0.073458873043</x:v>
      </x:c>
      <x:c r="I6" s="45" t="n">
        <x:v>0.367407311231</x:v>
      </x:c>
      <x:c r="J6" s="45" t="n">
        <x:v>0.152419698044</x:v>
      </x:c>
      <x:c r="K6" s="45" t="n">
        <x:v>0.845</x:v>
      </x:c>
      <x:c r="L6" s="45" t="n">
        <x:v>0.045276925691</x:v>
      </x:c>
    </x:row>
    <x:row r="7" ht="15" hidden="0" customHeight="1">
      <x:c r="A7" s="38" t="str">
        <x:v>C_rgb_2d_3d</x:v>
      </x:c>
      <x:c r="B7" s="38" t="n">
        <x:v>10</x:v>
      </x:c>
      <x:c r="C7" s="45" t="n">
        <x:v>0.894264087702</x:v>
      </x:c>
      <x:c r="D7" s="45" t="n">
        <x:v>0.064411903263</x:v>
      </x:c>
      <x:c r="E7" s="45" t="n">
        <x:v>0.890394807472</x:v>
      </x:c>
      <x:c r="F7" s="45" t="n">
        <x:v>0.097786206777</x:v>
      </x:c>
      <x:c r="G7" s="45" t="n">
        <x:v>0.805129987258</x:v>
      </x:c>
      <x:c r="H7" s="45" t="n">
        <x:v>0.084708919683</x:v>
      </x:c>
      <x:c r="I7" s="45" t="n">
        <x:v>0.285836219802</x:v>
      </x:c>
      <x:c r="J7" s="45" t="n">
        <x:v>0.127074009685</x:v>
      </x:c>
      <x:c r="K7" s="45" t="n">
        <x:v>0.869</x:v>
      </x:c>
      <x:c r="L7" s="45" t="n">
        <x:v>0.064195880796</x:v>
      </x:c>
    </x:row>
    <x:row r="8" ht="15" hidden="0" customHeight="1">
      <x:c r="A8" s="39" t="str">
        <x:v>geometry_only</x:v>
      </x:c>
      <x:c r="B8" s="39" t="n">
        <x:v>10</x:v>
      </x:c>
      <x:c r="C8" s="46" t="n">
        <x:v>0.866773888316</x:v>
      </x:c>
      <x:c r="D8" s="46" t="n">
        <x:v>0.067237711182</x:v>
      </x:c>
      <x:c r="E8" s="46" t="n">
        <x:v>0.858515858856</x:v>
      </x:c>
      <x:c r="F8" s="46" t="n">
        <x:v>0.102337857412</x:v>
      </x:c>
      <x:c r="G8" s="46" t="n">
        <x:v>0.805052789338</x:v>
      </x:c>
      <x:c r="H8" s="46" t="n">
        <x:v>0.081982619247</x:v>
      </x:c>
      <x:c r="I8" s="46" t="n">
        <x:v>0.35111051804</x:v>
      </x:c>
      <x:c r="J8" s="46" t="n">
        <x:v>0.145284981683</x:v>
      </x:c>
      <x:c r="K8" s="46" t="n">
        <x:v>0.904</x:v>
      </x:c>
      <x:c r="L8" s="46" t="n">
        <x:v>0.0616801787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5.670000076293945" hidden="0" customWidth="1"/>
    <x:col min="4" max="4" width="7.670000076293945" hidden="0" customWidth="1"/>
    <x:col min="5" max="5" width="8.109999656677246" hidden="0" customWidth="1"/>
    <x:col min="6" max="6" width="9.109999656677246" hidden="0" customWidth="1"/>
    <x:col min="7" max="7" width="9.109999656677246" hidden="0" customWidth="1"/>
    <x:col min="8" max="8" width="16.780000686645508" hidden="0" customWidth="1"/>
    <x:col min="9" max="9" width="34.560001373291016" hidden="0" customWidth="1"/>
    <x:col min="10" max="10" width="33.439998626708984" hidden="0" customWidth="1"/>
    <x:col min="11" max="11" width="14.670000076293945" hidden="0" customWidth="1"/>
    <x:col min="12" max="12" width="19.670000076293945" hidden="0" customWidth="1"/>
  </x:cols>
  <x:sheetData>
    <x:row r="1" ht="19.200000762939453" hidden="0" customHeight="1">
      <x:c r="A1" s="40" t="str">
        <x:v>Machine-readable test metrics by video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</x:row>
    <x:row r="2" ht="15" hidden="0" customHeight="1">
      <x:c r="A2" s="33" t="str">
        <x:v>All 40 model-video rows. Video identity is used for evaluation and clustering, never as a model feature.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</x:row>
    <x:row r="3" ht="15" hidden="0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</x:row>
    <x:row r="4" ht="15" hidden="0" customHeight="1">
      <x:c r="A4" s="41" t="str">
        <x:v>configuration</x:v>
      </x:c>
      <x:c r="B4" s="42" t="str">
        <x:v>video_id</x:v>
      </x:c>
      <x:c r="C4" s="42" t="str">
        <x:v>n_pairs</x:v>
      </x:c>
      <x:c r="D4" s="42" t="str">
        <x:v>n_positive</x:v>
      </x:c>
      <x:c r="E4" s="42" t="str">
        <x:v>n_negative</x:v>
      </x:c>
      <x:c r="F4" s="42" t="str">
        <x:v>auroc</x:v>
      </x:c>
      <x:c r="G4" s="42" t="str">
        <x:v>pr_auc</x:v>
      </x:c>
      <x:c r="H4" s="42" t="str">
        <x:v>f1_at_locked_threshold</x:v>
      </x:c>
      <x:c r="I4" s="42" t="str">
        <x:v>false_match_rate_at_locked_90_recall_threshold</x:v>
      </x:c>
      <x:c r="J4" s="42" t="str">
        <x:v>achieved_recall_at_locked_90_recall_threshold</x:v>
      </x:c>
      <x:c r="K4" s="42" t="str">
        <x:v>locked_f1_threshold</x:v>
      </x:c>
      <x:c r="L4" s="43" t="str">
        <x:v>locked_90_recall_threshold</x:v>
      </x:c>
    </x:row>
    <x:row r="5" ht="15" hidden="0" customHeight="1">
      <x:c r="A5" s="37" t="str">
        <x:v>A_rgb_only</x:v>
      </x:c>
      <x:c r="B5" s="37" t="n">
        <x:v>2481</x:v>
      </x:c>
      <x:c r="C5" s="37" t="n">
        <x:v>159</x:v>
      </x:c>
      <x:c r="D5" s="37" t="n">
        <x:v>100</x:v>
      </x:c>
      <x:c r="E5" s="37" t="n">
        <x:v>59</x:v>
      </x:c>
      <x:c r="F5" s="44" t="n">
        <x:v>0.809661016949</x:v>
      </x:c>
      <x:c r="G5" s="44" t="n">
        <x:v>0.885906117079</x:v>
      </x:c>
      <x:c r="H5" s="44" t="n">
        <x:v>0.796019900498</x:v>
      </x:c>
      <x:c r="I5" s="44" t="n">
        <x:v>0.491525423729</x:v>
      </x:c>
      <x:c r="J5" s="44" t="n">
        <x:v>0.88</x:v>
      </x:c>
      <x:c r="K5" s="44" t="n">
        <x:v>0.4627167893231564</x:v>
      </x:c>
      <x:c r="L5" s="44" t="n">
        <x:v>0.3700743525780599</x:v>
      </x:c>
    </x:row>
    <x:row r="6" ht="15" hidden="0" customHeight="1">
      <x:c r="A6" s="38" t="str">
        <x:v>A_rgb_only</x:v>
      </x:c>
      <x:c r="B6" s="38" t="n">
        <x:v>2854</x:v>
      </x:c>
      <x:c r="C6" s="38" t="n">
        <x:v>244</x:v>
      </x:c>
      <x:c r="D6" s="38" t="n">
        <x:v>100</x:v>
      </x:c>
      <x:c r="E6" s="38" t="n">
        <x:v>144</x:v>
      </x:c>
      <x:c r="F6" s="45" t="n">
        <x:v>0.790972222222</x:v>
      </x:c>
      <x:c r="G6" s="45" t="n">
        <x:v>0.804956338211</x:v>
      </x:c>
      <x:c r="H6" s="45" t="n">
        <x:v>0.66985645933</x:v>
      </x:c>
      <x:c r="I6" s="45" t="n">
        <x:v>0.534722222222</x:v>
      </x:c>
      <x:c r="J6" s="45" t="n">
        <x:v>0.82</x:v>
      </x:c>
      <x:c r="K6" s="45" t="n">
        <x:v>0.4627167893231564</x:v>
      </x:c>
      <x:c r="L6" s="45" t="n">
        <x:v>0.3700743525780599</x:v>
      </x:c>
    </x:row>
    <x:row r="7" ht="15" hidden="0" customHeight="1">
      <x:c r="A7" s="38" t="str">
        <x:v>A_rgb_only</x:v>
      </x:c>
      <x:c r="B7" s="38" t="n">
        <x:v>3851</x:v>
      </x:c>
      <x:c r="C7" s="38" t="n">
        <x:v>248</x:v>
      </x:c>
      <x:c r="D7" s="38" t="n">
        <x:v>100</x:v>
      </x:c>
      <x:c r="E7" s="38" t="n">
        <x:v>148</x:v>
      </x:c>
      <x:c r="F7" s="45" t="n">
        <x:v>0.636891891892</x:v>
      </x:c>
      <x:c r="G7" s="45" t="n">
        <x:v>0.559486239627</x:v>
      </x:c>
      <x:c r="H7" s="45" t="n">
        <x:v>0.561538461538</x:v>
      </x:c>
      <x:c r="I7" s="45" t="n">
        <x:v>0.72972972973</x:v>
      </x:c>
      <x:c r="J7" s="45" t="n">
        <x:v>0.88</x:v>
      </x:c>
      <x:c r="K7" s="45" t="n">
        <x:v>0.4627167893231564</x:v>
      </x:c>
      <x:c r="L7" s="45" t="n">
        <x:v>0.3700743525780599</x:v>
      </x:c>
    </x:row>
    <x:row r="8" ht="15" hidden="0" customHeight="1">
      <x:c r="A8" s="38" t="str">
        <x:v>A_rgb_only</x:v>
      </x:c>
      <x:c r="B8" s="38" t="n">
        <x:v>6159</x:v>
      </x:c>
      <x:c r="C8" s="38" t="n">
        <x:v>186</x:v>
      </x:c>
      <x:c r="D8" s="38" t="n">
        <x:v>100</x:v>
      </x:c>
      <x:c r="E8" s="38" t="n">
        <x:v>86</x:v>
      </x:c>
      <x:c r="F8" s="45" t="n">
        <x:v>0.85511627907</x:v>
      </x:c>
      <x:c r="G8" s="45" t="n">
        <x:v>0.883438668922</x:v>
      </x:c>
      <x:c r="H8" s="45" t="n">
        <x:v>0.776595744681</x:v>
      </x:c>
      <x:c r="I8" s="45" t="n">
        <x:v>0.372093023256</x:v>
      </x:c>
      <x:c r="J8" s="45" t="n">
        <x:v>0.86</x:v>
      </x:c>
      <x:c r="K8" s="45" t="n">
        <x:v>0.4627167893231564</x:v>
      </x:c>
      <x:c r="L8" s="45" t="n">
        <x:v>0.3700743525780599</x:v>
      </x:c>
    </x:row>
    <x:row r="9" ht="15" hidden="0" customHeight="1">
      <x:c r="A9" s="38" t="str">
        <x:v>A_rgb_only</x:v>
      </x:c>
      <x:c r="B9" s="38" t="n">
        <x:v>6268</x:v>
      </x:c>
      <x:c r="C9" s="38" t="n">
        <x:v>143</x:v>
      </x:c>
      <x:c r="D9" s="38" t="n">
        <x:v>100</x:v>
      </x:c>
      <x:c r="E9" s="38" t="n">
        <x:v>43</x:v>
      </x:c>
      <x:c r="F9" s="45" t="n">
        <x:v>0.843720930233</x:v>
      </x:c>
      <x:c r="G9" s="45" t="n">
        <x:v>0.932769507573</x:v>
      </x:c>
      <x:c r="H9" s="45" t="n">
        <x:v>0.746987951807</x:v>
      </x:c>
      <x:c r="I9" s="45" t="n">
        <x:v>0.209302325581</x:v>
      </x:c>
      <x:c r="J9" s="45" t="n">
        <x:v>0.77</x:v>
      </x:c>
      <x:c r="K9" s="45" t="n">
        <x:v>0.4627167893231564</x:v>
      </x:c>
      <x:c r="L9" s="45" t="n">
        <x:v>0.3700743525780599</x:v>
      </x:c>
    </x:row>
    <x:row r="10" ht="15" hidden="0" customHeight="1">
      <x:c r="A10" s="38" t="str">
        <x:v>A_rgb_only</x:v>
      </x:c>
      <x:c r="B10" s="38" t="n">
        <x:v>7772</x:v>
      </x:c>
      <x:c r="C10" s="38" t="n">
        <x:v>163</x:v>
      </x:c>
      <x:c r="D10" s="38" t="n">
        <x:v>100</x:v>
      </x:c>
      <x:c r="E10" s="38" t="n">
        <x:v>63</x:v>
      </x:c>
      <x:c r="F10" s="45" t="n">
        <x:v>0.893015873016</x:v>
      </x:c>
      <x:c r="G10" s="45" t="n">
        <x:v>0.940700363537</x:v>
      </x:c>
      <x:c r="H10" s="45" t="n">
        <x:v>0.831578947368</x:v>
      </x:c>
      <x:c r="I10" s="45" t="n">
        <x:v>0.333333333333</x:v>
      </x:c>
      <x:c r="J10" s="45" t="n">
        <x:v>0.92</x:v>
      </x:c>
      <x:c r="K10" s="45" t="n">
        <x:v>0.4627167893231564</x:v>
      </x:c>
      <x:c r="L10" s="45" t="n">
        <x:v>0.3700743525780599</x:v>
      </x:c>
    </x:row>
    <x:row r="11" ht="15" hidden="0" customHeight="1">
      <x:c r="A11" s="38" t="str">
        <x:v>A_rgb_only</x:v>
      </x:c>
      <x:c r="B11" s="38" t="n">
        <x:v>8193</x:v>
      </x:c>
      <x:c r="C11" s="38" t="n">
        <x:v>222</x:v>
      </x:c>
      <x:c r="D11" s="38" t="n">
        <x:v>100</x:v>
      </x:c>
      <x:c r="E11" s="38" t="n">
        <x:v>122</x:v>
      </x:c>
      <x:c r="F11" s="45" t="n">
        <x:v>0.682868852459</x:v>
      </x:c>
      <x:c r="G11" s="45" t="n">
        <x:v>0.717129576102</x:v>
      </x:c>
      <x:c r="H11" s="45" t="n">
        <x:v>0.603773584906</x:v>
      </x:c>
      <x:c r="I11" s="45" t="n">
        <x:v>0.606557377049</x:v>
      </x:c>
      <x:c r="J11" s="45" t="n">
        <x:v>0.77</x:v>
      </x:c>
      <x:c r="K11" s="45" t="n">
        <x:v>0.4627167893231564</x:v>
      </x:c>
      <x:c r="L11" s="45" t="n">
        <x:v>0.3700743525780599</x:v>
      </x:c>
    </x:row>
    <x:row r="12" ht="15" hidden="0" customHeight="1">
      <x:c r="A12" s="38" t="str">
        <x:v>A_rgb_only</x:v>
      </x:c>
      <x:c r="B12" s="38" t="n">
        <x:v>8879</x:v>
      </x:c>
      <x:c r="C12" s="38" t="n">
        <x:v>250</x:v>
      </x:c>
      <x:c r="D12" s="38" t="n">
        <x:v>100</x:v>
      </x:c>
      <x:c r="E12" s="38" t="n">
        <x:v>150</x:v>
      </x:c>
      <x:c r="F12" s="45" t="n">
        <x:v>0.617933333333</x:v>
      </x:c>
      <x:c r="G12" s="45" t="n">
        <x:v>0.5637914472</x:v>
      </x:c>
      <x:c r="H12" s="45" t="n">
        <x:v>0.558823529412</x:v>
      </x:c>
      <x:c r="I12" s="45" t="n">
        <x:v>0.7</x:v>
      </x:c>
      <x:c r="J12" s="45" t="n">
        <x:v>0.87</x:v>
      </x:c>
      <x:c r="K12" s="45" t="n">
        <x:v>0.4627167893231564</x:v>
      </x:c>
      <x:c r="L12" s="45" t="n">
        <x:v>0.3700743525780599</x:v>
      </x:c>
    </x:row>
    <x:row r="13" ht="15" hidden="0" customHeight="1">
      <x:c r="A13" s="38" t="str">
        <x:v>A_rgb_only</x:v>
      </x:c>
      <x:c r="B13" s="38" t="n">
        <x:v>9009</x:v>
      </x:c>
      <x:c r="C13" s="38" t="n">
        <x:v>208</x:v>
      </x:c>
      <x:c r="D13" s="38" t="n">
        <x:v>100</x:v>
      </x:c>
      <x:c r="E13" s="38" t="n">
        <x:v>108</x:v>
      </x:c>
      <x:c r="F13" s="45" t="n">
        <x:v>0.756574074074</x:v>
      </x:c>
      <x:c r="G13" s="45" t="n">
        <x:v>0.791690643429</x:v>
      </x:c>
      <x:c r="H13" s="45" t="n">
        <x:v>0.666666666667</x:v>
      </x:c>
      <x:c r="I13" s="45" t="n">
        <x:v>0.574074074074</x:v>
      </x:c>
      <x:c r="J13" s="45" t="n">
        <x:v>0.81</x:v>
      </x:c>
      <x:c r="K13" s="45" t="n">
        <x:v>0.4627167893231564</x:v>
      </x:c>
      <x:c r="L13" s="45" t="n">
        <x:v>0.3700743525780599</x:v>
      </x:c>
    </x:row>
    <x:row r="14" ht="15" hidden="0" customHeight="1">
      <x:c r="A14" s="38" t="str">
        <x:v>A_rgb_only</x:v>
      </x:c>
      <x:c r="B14" s="38" t="n">
        <x:v>9403</x:v>
      </x:c>
      <x:c r="C14" s="38" t="n">
        <x:v>177</x:v>
      </x:c>
      <x:c r="D14" s="38" t="n">
        <x:v>100</x:v>
      </x:c>
      <x:c r="E14" s="38" t="n">
        <x:v>77</x:v>
      </x:c>
      <x:c r="F14" s="45" t="n">
        <x:v>0.684805194805</x:v>
      </x:c>
      <x:c r="G14" s="45" t="n">
        <x:v>0.702965403065</x:v>
      </x:c>
      <x:c r="H14" s="45" t="n">
        <x:v>0.731481481481</x:v>
      </x:c>
      <x:c r="I14" s="45" t="n">
        <x:v>0.597402597403</x:v>
      </x:c>
      <x:c r="J14" s="45" t="n">
        <x:v>0.89</x:v>
      </x:c>
      <x:c r="K14" s="45" t="n">
        <x:v>0.4627167893231564</x:v>
      </x:c>
      <x:c r="L14" s="45" t="n">
        <x:v>0.3700743525780599</x:v>
      </x:c>
    </x:row>
    <x:row r="15" ht="15" hidden="0" customHeight="1">
      <x:c r="A15" s="38" t="str">
        <x:v>B_rgb_2d</x:v>
      </x:c>
      <x:c r="B15" s="38" t="n">
        <x:v>2481</x:v>
      </x:c>
      <x:c r="C15" s="38" t="n">
        <x:v>159</x:v>
      </x:c>
      <x:c r="D15" s="38" t="n">
        <x:v>100</x:v>
      </x:c>
      <x:c r="E15" s="38" t="n">
        <x:v>59</x:v>
      </x:c>
      <x:c r="F15" s="45" t="n">
        <x:v>0.881694915254</x:v>
      </x:c>
      <x:c r="G15" s="45" t="n">
        <x:v>0.93117369799</x:v>
      </x:c>
      <x:c r="H15" s="45" t="n">
        <x:v>0.845360824742</x:v>
      </x:c>
      <x:c r="I15" s="45" t="n">
        <x:v>0.203389830508</x:v>
      </x:c>
      <x:c r="J15" s="45" t="n">
        <x:v>0.81</x:v>
      </x:c>
      <x:c r="K15" s="45" t="n">
        <x:v>0.43170553389623967</x:v>
      </x:c>
      <x:c r="L15" s="45" t="n">
        <x:v>0.4376130904969784</x:v>
      </x:c>
    </x:row>
    <x:row r="16" ht="15" hidden="0" customHeight="1">
      <x:c r="A16" s="38" t="str">
        <x:v>B_rgb_2d</x:v>
      </x:c>
      <x:c r="B16" s="38" t="n">
        <x:v>2854</x:v>
      </x:c>
      <x:c r="C16" s="38" t="n">
        <x:v>244</x:v>
      </x:c>
      <x:c r="D16" s="38" t="n">
        <x:v>100</x:v>
      </x:c>
      <x:c r="E16" s="38" t="n">
        <x:v>144</x:v>
      </x:c>
      <x:c r="F16" s="45" t="n">
        <x:v>0.837361111111</x:v>
      </x:c>
      <x:c r="G16" s="45" t="n">
        <x:v>0.810423239129</x:v>
      </x:c>
      <x:c r="H16" s="45" t="n">
        <x:v>0.681818181818</x:v>
      </x:c>
      <x:c r="I16" s="45" t="n">
        <x:v>0.513888888889</x:v>
      </x:c>
      <x:c r="J16" s="45" t="n">
        <x:v>0.9</x:v>
      </x:c>
      <x:c r="K16" s="45" t="n">
        <x:v>0.43170553389623967</x:v>
      </x:c>
      <x:c r="L16" s="45" t="n">
        <x:v>0.4376130904969784</x:v>
      </x:c>
    </x:row>
    <x:row r="17" ht="15" hidden="0" customHeight="1">
      <x:c r="A17" s="38" t="str">
        <x:v>B_rgb_2d</x:v>
      </x:c>
      <x:c r="B17" s="38" t="n">
        <x:v>3851</x:v>
      </x:c>
      <x:c r="C17" s="38" t="n">
        <x:v>248</x:v>
      </x:c>
      <x:c r="D17" s="38" t="n">
        <x:v>100</x:v>
      </x:c>
      <x:c r="E17" s="38" t="n">
        <x:v>148</x:v>
      </x:c>
      <x:c r="F17" s="45" t="n">
        <x:v>0.753648648649</x:v>
      </x:c>
      <x:c r="G17" s="45" t="n">
        <x:v>0.670994087431</x:v>
      </x:c>
      <x:c r="H17" s="45" t="n">
        <x:v>0.634686346863</x:v>
      </x:c>
      <x:c r="I17" s="45" t="n">
        <x:v>0.574324324324</x:v>
      </x:c>
      <x:c r="J17" s="45" t="n">
        <x:v>0.86</x:v>
      </x:c>
      <x:c r="K17" s="45" t="n">
        <x:v>0.43170553389623967</x:v>
      </x:c>
      <x:c r="L17" s="45" t="n">
        <x:v>0.4376130904969784</x:v>
      </x:c>
    </x:row>
    <x:row r="18" ht="15" hidden="0" customHeight="1">
      <x:c r="A18" s="38" t="str">
        <x:v>B_rgb_2d</x:v>
      </x:c>
      <x:c r="B18" s="38" t="n">
        <x:v>6159</x:v>
      </x:c>
      <x:c r="C18" s="38" t="n">
        <x:v>186</x:v>
      </x:c>
      <x:c r="D18" s="38" t="n">
        <x:v>100</x:v>
      </x:c>
      <x:c r="E18" s="38" t="n">
        <x:v>86</x:v>
      </x:c>
      <x:c r="F18" s="45" t="n">
        <x:v>0.896162790698</x:v>
      </x:c>
      <x:c r="G18" s="45" t="n">
        <x:v>0.921703895076</x:v>
      </x:c>
      <x:c r="H18" s="45" t="n">
        <x:v>0.815165876777</x:v>
      </x:c>
      <x:c r="I18" s="45" t="n">
        <x:v>0.290697674419</x:v>
      </x:c>
      <x:c r="J18" s="45" t="n">
        <x:v>0.86</x:v>
      </x:c>
      <x:c r="K18" s="45" t="n">
        <x:v>0.43170553389623967</x:v>
      </x:c>
      <x:c r="L18" s="45" t="n">
        <x:v>0.4376130904969784</x:v>
      </x:c>
    </x:row>
    <x:row r="19" ht="15" hidden="0" customHeight="1">
      <x:c r="A19" s="38" t="str">
        <x:v>B_rgb_2d</x:v>
      </x:c>
      <x:c r="B19" s="38" t="n">
        <x:v>6268</x:v>
      </x:c>
      <x:c r="C19" s="38" t="n">
        <x:v>143</x:v>
      </x:c>
      <x:c r="D19" s="38" t="n">
        <x:v>100</x:v>
      </x:c>
      <x:c r="E19" s="38" t="n">
        <x:v>43</x:v>
      </x:c>
      <x:c r="F19" s="45" t="n">
        <x:v>0.713255813953</x:v>
      </x:c>
      <x:c r="G19" s="45" t="n">
        <x:v>0.82171578258</x:v>
      </x:c>
      <x:c r="H19" s="45" t="n">
        <x:v>0.82</x:v>
      </x:c>
      <x:c r="I19" s="45" t="n">
        <x:v>0.418604651163</x:v>
      </x:c>
      <x:c r="J19" s="45" t="n">
        <x:v>0.81</x:v>
      </x:c>
      <x:c r="K19" s="45" t="n">
        <x:v>0.43170553389623967</x:v>
      </x:c>
      <x:c r="L19" s="45" t="n">
        <x:v>0.4376130904969784</x:v>
      </x:c>
    </x:row>
    <x:row r="20" ht="15" hidden="0" customHeight="1">
      <x:c r="A20" s="38" t="str">
        <x:v>B_rgb_2d</x:v>
      </x:c>
      <x:c r="B20" s="38" t="n">
        <x:v>7772</x:v>
      </x:c>
      <x:c r="C20" s="38" t="n">
        <x:v>163</x:v>
      </x:c>
      <x:c r="D20" s="38" t="n">
        <x:v>100</x:v>
      </x:c>
      <x:c r="E20" s="38" t="n">
        <x:v>63</x:v>
      </x:c>
      <x:c r="F20" s="45" t="n">
        <x:v>0.899206349206</x:v>
      </x:c>
      <x:c r="G20" s="45" t="n">
        <x:v>0.94287731147</x:v>
      </x:c>
      <x:c r="H20" s="45" t="n">
        <x:v>0.843049327354</x:v>
      </x:c>
      <x:c r="I20" s="45" t="n">
        <x:v>0.460317460317</x:v>
      </x:c>
      <x:c r="J20" s="45" t="n">
        <x:v>0.94</x:v>
      </x:c>
      <x:c r="K20" s="45" t="n">
        <x:v>0.43170553389623967</x:v>
      </x:c>
      <x:c r="L20" s="45" t="n">
        <x:v>0.4376130904969784</x:v>
      </x:c>
    </x:row>
    <x:row r="21" ht="15" hidden="0" customHeight="1">
      <x:c r="A21" s="38" t="str">
        <x:v>B_rgb_2d</x:v>
      </x:c>
      <x:c r="B21" s="38" t="n">
        <x:v>8193</x:v>
      </x:c>
      <x:c r="C21" s="38" t="n">
        <x:v>222</x:v>
      </x:c>
      <x:c r="D21" s="38" t="n">
        <x:v>100</x:v>
      </x:c>
      <x:c r="E21" s="38" t="n">
        <x:v>122</x:v>
      </x:c>
      <x:c r="F21" s="45" t="n">
        <x:v>0.917131147541</x:v>
      </x:c>
      <x:c r="G21" s="45" t="n">
        <x:v>0.879285969816</x:v>
      </x:c>
      <x:c r="H21" s="45" t="n">
        <x:v>0.812182741117</x:v>
      </x:c>
      <x:c r="I21" s="45" t="n">
        <x:v>0.131147540984</x:v>
      </x:c>
      <x:c r="J21" s="45" t="n">
        <x:v>0.8</x:v>
      </x:c>
      <x:c r="K21" s="45" t="n">
        <x:v>0.43170553389623967</x:v>
      </x:c>
      <x:c r="L21" s="45" t="n">
        <x:v>0.4376130904969784</x:v>
      </x:c>
    </x:row>
    <x:row r="22" ht="15" hidden="0" customHeight="1">
      <x:c r="A22" s="38" t="str">
        <x:v>B_rgb_2d</x:v>
      </x:c>
      <x:c r="B22" s="38" t="n">
        <x:v>8879</x:v>
      </x:c>
      <x:c r="C22" s="38" t="n">
        <x:v>250</x:v>
      </x:c>
      <x:c r="D22" s="38" t="n">
        <x:v>100</x:v>
      </x:c>
      <x:c r="E22" s="38" t="n">
        <x:v>150</x:v>
      </x:c>
      <x:c r="F22" s="45" t="n">
        <x:v>0.796066666667</x:v>
      </x:c>
      <x:c r="G22" s="45" t="n">
        <x:v>0.689676903173</x:v>
      </x:c>
      <x:c r="H22" s="45" t="n">
        <x:v>0.71186440678</x:v>
      </x:c>
      <x:c r="I22" s="45" t="n">
        <x:v>0.34</x:v>
      </x:c>
      <x:c r="J22" s="45" t="n">
        <x:v>0.82</x:v>
      </x:c>
      <x:c r="K22" s="45" t="n">
        <x:v>0.43170553389623967</x:v>
      </x:c>
      <x:c r="L22" s="45" t="n">
        <x:v>0.4376130904969784</x:v>
      </x:c>
    </x:row>
    <x:row r="23" ht="15" hidden="0" customHeight="1">
      <x:c r="A23" s="38" t="str">
        <x:v>B_rgb_2d</x:v>
      </x:c>
      <x:c r="B23" s="38" t="n">
        <x:v>9009</x:v>
      </x:c>
      <x:c r="C23" s="38" t="n">
        <x:v>208</x:v>
      </x:c>
      <x:c r="D23" s="38" t="n">
        <x:v>100</x:v>
      </x:c>
      <x:c r="E23" s="38" t="n">
        <x:v>108</x:v>
      </x:c>
      <x:c r="F23" s="45" t="n">
        <x:v>0.846388888889</x:v>
      </x:c>
      <x:c r="G23" s="45" t="n">
        <x:v>0.77418565962</x:v>
      </x:c>
      <x:c r="H23" s="45" t="n">
        <x:v>0.798076923077</x:v>
      </x:c>
      <x:c r="I23" s="45" t="n">
        <x:v>0.222222222222</x:v>
      </x:c>
      <x:c r="J23" s="45" t="n">
        <x:v>0.83</x:v>
      </x:c>
      <x:c r="K23" s="45" t="n">
        <x:v>0.43170553389623967</x:v>
      </x:c>
      <x:c r="L23" s="45" t="n">
        <x:v>0.4376130904969784</x:v>
      </x:c>
    </x:row>
    <x:row r="24" ht="15" hidden="0" customHeight="1">
      <x:c r="A24" s="38" t="str">
        <x:v>B_rgb_2d</x:v>
      </x:c>
      <x:c r="B24" s="38" t="n">
        <x:v>9403</x:v>
      </x:c>
      <x:c r="C24" s="38" t="n">
        <x:v>177</x:v>
      </x:c>
      <x:c r="D24" s="38" t="n">
        <x:v>100</x:v>
      </x:c>
      <x:c r="E24" s="38" t="n">
        <x:v>77</x:v>
      </x:c>
      <x:c r="F24" s="45" t="n">
        <x:v>0.749350649351</x:v>
      </x:c>
      <x:c r="G24" s="45" t="n">
        <x:v>0.763155744506</x:v>
      </x:c>
      <x:c r="H24" s="45" t="n">
        <x:v>0.738738738739</x:v>
      </x:c>
      <x:c r="I24" s="45" t="n">
        <x:v>0.519480519481</x:v>
      </x:c>
      <x:c r="J24" s="45" t="n">
        <x:v>0.82</x:v>
      </x:c>
      <x:c r="K24" s="45" t="n">
        <x:v>0.43170553389623967</x:v>
      </x:c>
      <x:c r="L24" s="45" t="n">
        <x:v>0.4376130904969784</x:v>
      </x:c>
    </x:row>
    <x:row r="25" ht="15" hidden="0" customHeight="1">
      <x:c r="A25" s="38" t="str">
        <x:v>C_rgb_2d_3d</x:v>
      </x:c>
      <x:c r="B25" s="38" t="n">
        <x:v>2481</x:v>
      </x:c>
      <x:c r="C25" s="38" t="n">
        <x:v>159</x:v>
      </x:c>
      <x:c r="D25" s="38" t="n">
        <x:v>100</x:v>
      </x:c>
      <x:c r="E25" s="38" t="n">
        <x:v>59</x:v>
      </x:c>
      <x:c r="F25" s="45" t="n">
        <x:v>0.93593220339</x:v>
      </x:c>
      <x:c r="G25" s="45" t="n">
        <x:v>0.960799739433</x:v>
      </x:c>
      <x:c r="H25" s="45" t="n">
        <x:v>0.87922705314</x:v>
      </x:c>
      <x:c r="I25" s="45" t="n">
        <x:v>0.152542372881</x:v>
      </x:c>
      <x:c r="J25" s="45" t="n">
        <x:v>0.85</x:v>
      </x:c>
      <x:c r="K25" s="45" t="n">
        <x:v>0.37928010903953285</x:v>
      </x:c>
      <x:c r="L25" s="45" t="n">
        <x:v>0.5048223161175864</x:v>
      </x:c>
    </x:row>
    <x:row r="26" ht="15" hidden="0" customHeight="1">
      <x:c r="A26" s="38" t="str">
        <x:v>C_rgb_2d_3d</x:v>
      </x:c>
      <x:c r="B26" s="38" t="n">
        <x:v>2854</x:v>
      </x:c>
      <x:c r="C26" s="38" t="n">
        <x:v>244</x:v>
      </x:c>
      <x:c r="D26" s="38" t="n">
        <x:v>100</x:v>
      </x:c>
      <x:c r="E26" s="38" t="n">
        <x:v>144</x:v>
      </x:c>
      <x:c r="F26" s="45" t="n">
        <x:v>0.941458333333</x:v>
      </x:c>
      <x:c r="G26" s="45" t="n">
        <x:v>0.922599769387</x:v>
      </x:c>
      <x:c r="H26" s="45" t="n">
        <x:v>0.719101123596</x:v>
      </x:c>
      <x:c r="I26" s="45" t="n">
        <x:v>0.354166666667</x:v>
      </x:c>
      <x:c r="J26" s="45" t="n">
        <x:v>0.95</x:v>
      </x:c>
      <x:c r="K26" s="45" t="n">
        <x:v>0.37928010903953285</x:v>
      </x:c>
      <x:c r="L26" s="45" t="n">
        <x:v>0.5048223161175864</x:v>
      </x:c>
    </x:row>
    <x:row r="27" ht="15" hidden="0" customHeight="1">
      <x:c r="A27" s="38" t="str">
        <x:v>C_rgb_2d_3d</x:v>
      </x:c>
      <x:c r="B27" s="38" t="n">
        <x:v>3851</x:v>
      </x:c>
      <x:c r="C27" s="38" t="n">
        <x:v>248</x:v>
      </x:c>
      <x:c r="D27" s="38" t="n">
        <x:v>100</x:v>
      </x:c>
      <x:c r="E27" s="38" t="n">
        <x:v>148</x:v>
      </x:c>
      <x:c r="F27" s="45" t="n">
        <x:v>0.755540540541</x:v>
      </x:c>
      <x:c r="G27" s="45" t="n">
        <x:v>0.675619704949</x:v>
      </x:c>
      <x:c r="H27" s="45" t="n">
        <x:v>0.643939393939</x:v>
      </x:c>
      <x:c r="I27" s="45" t="n">
        <x:v>0.432432432432</x:v>
      </x:c>
      <x:c r="J27" s="45" t="n">
        <x:v>0.78</x:v>
      </x:c>
      <x:c r="K27" s="45" t="n">
        <x:v>0.37928010903953285</x:v>
      </x:c>
      <x:c r="L27" s="45" t="n">
        <x:v>0.5048223161175864</x:v>
      </x:c>
    </x:row>
    <x:row r="28" ht="15" hidden="0" customHeight="1">
      <x:c r="A28" s="38" t="str">
        <x:v>C_rgb_2d_3d</x:v>
      </x:c>
      <x:c r="B28" s="38" t="n">
        <x:v>6159</x:v>
      </x:c>
      <x:c r="C28" s="38" t="n">
        <x:v>186</x:v>
      </x:c>
      <x:c r="D28" s="38" t="n">
        <x:v>100</x:v>
      </x:c>
      <x:c r="E28" s="38" t="n">
        <x:v>86</x:v>
      </x:c>
      <x:c r="F28" s="45" t="n">
        <x:v>0.952441860465</x:v>
      </x:c>
      <x:c r="G28" s="45" t="n">
        <x:v>0.96278598582</x:v>
      </x:c>
      <x:c r="H28" s="45" t="n">
        <x:v>0.858447488584</x:v>
      </x:c>
      <x:c r="I28" s="45" t="n">
        <x:v>0.162790697674</x:v>
      </x:c>
      <x:c r="J28" s="45" t="n">
        <x:v>0.9</x:v>
      </x:c>
      <x:c r="K28" s="45" t="n">
        <x:v>0.37928010903953285</x:v>
      </x:c>
      <x:c r="L28" s="45" t="n">
        <x:v>0.5048223161175864</x:v>
      </x:c>
    </x:row>
    <x:row r="29" ht="15" hidden="0" customHeight="1">
      <x:c r="A29" s="38" t="str">
        <x:v>C_rgb_2d_3d</x:v>
      </x:c>
      <x:c r="B29" s="38" t="n">
        <x:v>6268</x:v>
      </x:c>
      <x:c r="C29" s="38" t="n">
        <x:v>143</x:v>
      </x:c>
      <x:c r="D29" s="38" t="n">
        <x:v>100</x:v>
      </x:c>
      <x:c r="E29" s="38" t="n">
        <x:v>43</x:v>
      </x:c>
      <x:c r="F29" s="45" t="n">
        <x:v>0.897674418605</x:v>
      </x:c>
      <x:c r="G29" s="45" t="n">
        <x:v>0.952747110628</x:v>
      </x:c>
      <x:c r="H29" s="45" t="n">
        <x:v>0.893203883495</x:v>
      </x:c>
      <x:c r="I29" s="45" t="n">
        <x:v>0.255813953488</x:v>
      </x:c>
      <x:c r="J29" s="45" t="n">
        <x:v>0.79</x:v>
      </x:c>
      <x:c r="K29" s="45" t="n">
        <x:v>0.37928010903953285</x:v>
      </x:c>
      <x:c r="L29" s="45" t="n">
        <x:v>0.5048223161175864</x:v>
      </x:c>
    </x:row>
    <x:row r="30" ht="15" hidden="0" customHeight="1">
      <x:c r="A30" s="38" t="str">
        <x:v>C_rgb_2d_3d</x:v>
      </x:c>
      <x:c r="B30" s="38" t="n">
        <x:v>7772</x:v>
      </x:c>
      <x:c r="C30" s="38" t="n">
        <x:v>163</x:v>
      </x:c>
      <x:c r="D30" s="38" t="n">
        <x:v>100</x:v>
      </x:c>
      <x:c r="E30" s="38" t="n">
        <x:v>63</x:v>
      </x:c>
      <x:c r="F30" s="45" t="n">
        <x:v>0.913650793651</x:v>
      </x:c>
      <x:c r="G30" s="45" t="n">
        <x:v>0.949110945748</x:v>
      </x:c>
      <x:c r="H30" s="45" t="n">
        <x:v>0.847161572052</x:v>
      </x:c>
      <x:c r="I30" s="45" t="n">
        <x:v>0.428571428571</x:v>
      </x:c>
      <x:c r="J30" s="45" t="n">
        <x:v>0.95</x:v>
      </x:c>
      <x:c r="K30" s="45" t="n">
        <x:v>0.37928010903953285</x:v>
      </x:c>
      <x:c r="L30" s="45" t="n">
        <x:v>0.5048223161175864</x:v>
      </x:c>
    </x:row>
    <x:row r="31" ht="15" hidden="0" customHeight="1">
      <x:c r="A31" s="38" t="str">
        <x:v>C_rgb_2d_3d</x:v>
      </x:c>
      <x:c r="B31" s="38" t="n">
        <x:v>8193</x:v>
      </x:c>
      <x:c r="C31" s="38" t="n">
        <x:v>222</x:v>
      </x:c>
      <x:c r="D31" s="38" t="n">
        <x:v>100</x:v>
      </x:c>
      <x:c r="E31" s="38" t="n">
        <x:v>122</x:v>
      </x:c>
      <x:c r="F31" s="45" t="n">
        <x:v>0.965245901639</x:v>
      </x:c>
      <x:c r="G31" s="45" t="n">
        <x:v>0.962652615084</x:v>
      </x:c>
      <x:c r="H31" s="45" t="n">
        <x:v>0.877358490566</x:v>
      </x:c>
      <x:c r="I31" s="45" t="n">
        <x:v>0.090163934426</x:v>
      </x:c>
      <x:c r="J31" s="45" t="n">
        <x:v>0.91</x:v>
      </x:c>
      <x:c r="K31" s="45" t="n">
        <x:v>0.37928010903953285</x:v>
      </x:c>
      <x:c r="L31" s="45" t="n">
        <x:v>0.5048223161175864</x:v>
      </x:c>
    </x:row>
    <x:row r="32" ht="15" hidden="0" customHeight="1">
      <x:c r="A32" s="38" t="str">
        <x:v>C_rgb_2d_3d</x:v>
      </x:c>
      <x:c r="B32" s="38" t="n">
        <x:v>8879</x:v>
      </x:c>
      <x:c r="C32" s="38" t="n">
        <x:v>250</x:v>
      </x:c>
      <x:c r="D32" s="38" t="n">
        <x:v>100</x:v>
      </x:c>
      <x:c r="E32" s="38" t="n">
        <x:v>150</x:v>
      </x:c>
      <x:c r="F32" s="45" t="n">
        <x:v>0.841133333333</x:v>
      </x:c>
      <x:c r="G32" s="45" t="n">
        <x:v>0.766516994455</x:v>
      </x:c>
      <x:c r="H32" s="45" t="n">
        <x:v>0.717557251908</x:v>
      </x:c>
      <x:c r="I32" s="45" t="n">
        <x:v>0.353333333333</x:v>
      </x:c>
      <x:c r="J32" s="45" t="n">
        <x:v>0.89</x:v>
      </x:c>
      <x:c r="K32" s="45" t="n">
        <x:v>0.37928010903953285</x:v>
      </x:c>
      <x:c r="L32" s="45" t="n">
        <x:v>0.5048223161175864</x:v>
      </x:c>
    </x:row>
    <x:row r="33" ht="15" hidden="0" customHeight="1">
      <x:c r="A33" s="38" t="str">
        <x:v>C_rgb_2d_3d</x:v>
      </x:c>
      <x:c r="B33" s="38" t="n">
        <x:v>9009</x:v>
      </x:c>
      <x:c r="C33" s="38" t="n">
        <x:v>208</x:v>
      </x:c>
      <x:c r="D33" s="38" t="n">
        <x:v>100</x:v>
      </x:c>
      <x:c r="E33" s="38" t="n">
        <x:v>108</x:v>
      </x:c>
      <x:c r="F33" s="45" t="n">
        <x:v>0.895277777778</x:v>
      </x:c>
      <x:c r="G33" s="45" t="n">
        <x:v>0.888859026336</x:v>
      </x:c>
      <x:c r="H33" s="45" t="n">
        <x:v>0.792792792793</x:v>
      </x:c>
      <x:c r="I33" s="45" t="n">
        <x:v>0.212962962963</x:v>
      </x:c>
      <x:c r="J33" s="45" t="n">
        <x:v>0.79</x:v>
      </x:c>
      <x:c r="K33" s="45" t="n">
        <x:v>0.37928010903953285</x:v>
      </x:c>
      <x:c r="L33" s="45" t="n">
        <x:v>0.5048223161175864</x:v>
      </x:c>
    </x:row>
    <x:row r="34" ht="15" hidden="0" customHeight="1">
      <x:c r="A34" s="38" t="str">
        <x:v>C_rgb_2d_3d</x:v>
      </x:c>
      <x:c r="B34" s="38" t="n">
        <x:v>9403</x:v>
      </x:c>
      <x:c r="C34" s="38" t="n">
        <x:v>177</x:v>
      </x:c>
      <x:c r="D34" s="38" t="n">
        <x:v>100</x:v>
      </x:c>
      <x:c r="E34" s="38" t="n">
        <x:v>77</x:v>
      </x:c>
      <x:c r="F34" s="45" t="n">
        <x:v>0.844285714286</x:v>
      </x:c>
      <x:c r="G34" s="45" t="n">
        <x:v>0.862256182877</x:v>
      </x:c>
      <x:c r="H34" s="45" t="n">
        <x:v>0.822510822511</x:v>
      </x:c>
      <x:c r="I34" s="45" t="n">
        <x:v>0.415584415584</x:v>
      </x:c>
      <x:c r="J34" s="45" t="n">
        <x:v>0.88</x:v>
      </x:c>
      <x:c r="K34" s="45" t="n">
        <x:v>0.37928010903953285</x:v>
      </x:c>
      <x:c r="L34" s="45" t="n">
        <x:v>0.5048223161175864</x:v>
      </x:c>
    </x:row>
    <x:row r="35" ht="15" hidden="0" customHeight="1">
      <x:c r="A35" s="38" t="str">
        <x:v>geometry_only</x:v>
      </x:c>
      <x:c r="B35" s="38" t="n">
        <x:v>2481</x:v>
      </x:c>
      <x:c r="C35" s="38" t="n">
        <x:v>159</x:v>
      </x:c>
      <x:c r="D35" s="38" t="n">
        <x:v>100</x:v>
      </x:c>
      <x:c r="E35" s="38" t="n">
        <x:v>59</x:v>
      </x:c>
      <x:c r="F35" s="45" t="n">
        <x:v>0.907457627119</x:v>
      </x:c>
      <x:c r="G35" s="45" t="n">
        <x:v>0.939772714977</x:v>
      </x:c>
      <x:c r="H35" s="45" t="n">
        <x:v>0.845771144279</x:v>
      </x:c>
      <x:c r="I35" s="45" t="n">
        <x:v>0.254237288136</x:v>
      </x:c>
      <x:c r="J35" s="45" t="n">
        <x:v>0.85</x:v>
      </x:c>
      <x:c r="K35" s="45" t="n">
        <x:v>0.45117200198761054</x:v>
      </x:c>
      <x:c r="L35" s="45" t="n">
        <x:v>0.473062580975553</x:v>
      </x:c>
    </x:row>
    <x:row r="36" ht="15" hidden="0" customHeight="1">
      <x:c r="A36" s="38" t="str">
        <x:v>geometry_only</x:v>
      </x:c>
      <x:c r="B36" s="38" t="n">
        <x:v>2854</x:v>
      </x:c>
      <x:c r="C36" s="38" t="n">
        <x:v>244</x:v>
      </x:c>
      <x:c r="D36" s="38" t="n">
        <x:v>100</x:v>
      </x:c>
      <x:c r="E36" s="38" t="n">
        <x:v>144</x:v>
      </x:c>
      <x:c r="F36" s="45" t="n">
        <x:v>0.882291666667</x:v>
      </x:c>
      <x:c r="G36" s="45" t="n">
        <x:v>0.82636315854</x:v>
      </x:c>
      <x:c r="H36" s="45" t="n">
        <x:v>0.712230215827</x:v>
      </x:c>
      <x:c r="I36" s="45" t="n">
        <x:v>0.534722222222</x:v>
      </x:c>
      <x:c r="J36" s="45" t="n">
        <x:v>0.99</x:v>
      </x:c>
      <x:c r="K36" s="45" t="n">
        <x:v>0.45117200198761054</x:v>
      </x:c>
      <x:c r="L36" s="45" t="n">
        <x:v>0.473062580975553</x:v>
      </x:c>
    </x:row>
    <x:row r="37" ht="15" hidden="0" customHeight="1">
      <x:c r="A37" s="38" t="str">
        <x:v>geometry_only</x:v>
      </x:c>
      <x:c r="B37" s="38" t="n">
        <x:v>3851</x:v>
      </x:c>
      <x:c r="C37" s="38" t="n">
        <x:v>248</x:v>
      </x:c>
      <x:c r="D37" s="38" t="n">
        <x:v>100</x:v>
      </x:c>
      <x:c r="E37" s="38" t="n">
        <x:v>148</x:v>
      </x:c>
      <x:c r="F37" s="45" t="n">
        <x:v>0.737635135135</x:v>
      </x:c>
      <x:c r="G37" s="45" t="n">
        <x:v>0.625532976495</x:v>
      </x:c>
      <x:c r="H37" s="45" t="n">
        <x:v>0.653386454183</x:v>
      </x:c>
      <x:c r="I37" s="45" t="n">
        <x:v>0.452702702703</x:v>
      </x:c>
      <x:c r="J37" s="45" t="n">
        <x:v>0.8</x:v>
      </x:c>
      <x:c r="K37" s="45" t="n">
        <x:v>0.45117200198761054</x:v>
      </x:c>
      <x:c r="L37" s="45" t="n">
        <x:v>0.473062580975553</x:v>
      </x:c>
    </x:row>
    <x:row r="38" ht="15" hidden="0" customHeight="1">
      <x:c r="A38" s="38" t="str">
        <x:v>geometry_only</x:v>
      </x:c>
      <x:c r="B38" s="38" t="n">
        <x:v>6159</x:v>
      </x:c>
      <x:c r="C38" s="38" t="n">
        <x:v>186</x:v>
      </x:c>
      <x:c r="D38" s="38" t="n">
        <x:v>100</x:v>
      </x:c>
      <x:c r="E38" s="38" t="n">
        <x:v>86</x:v>
      </x:c>
      <x:c r="F38" s="45" t="n">
        <x:v>0.910697674419</x:v>
      </x:c>
      <x:c r="G38" s="45" t="n">
        <x:v>0.922440168152</x:v>
      </x:c>
      <x:c r="H38" s="45" t="n">
        <x:v>0.85046728972</x:v>
      </x:c>
      <x:c r="I38" s="45" t="n">
        <x:v>0.255813953488</x:v>
      </x:c>
      <x:c r="J38" s="45" t="n">
        <x:v>0.91</x:v>
      </x:c>
      <x:c r="K38" s="45" t="n">
        <x:v>0.45117200198761054</x:v>
      </x:c>
      <x:c r="L38" s="45" t="n">
        <x:v>0.473062580975553</x:v>
      </x:c>
    </x:row>
    <x:row r="39" ht="15" hidden="0" customHeight="1">
      <x:c r="A39" s="38" t="str">
        <x:v>geometry_only</x:v>
      </x:c>
      <x:c r="B39" s="38" t="n">
        <x:v>6268</x:v>
      </x:c>
      <x:c r="C39" s="38" t="n">
        <x:v>143</x:v>
      </x:c>
      <x:c r="D39" s="38" t="n">
        <x:v>100</x:v>
      </x:c>
      <x:c r="E39" s="38" t="n">
        <x:v>43</x:v>
      </x:c>
      <x:c r="F39" s="45" t="n">
        <x:v>0.903488372093</x:v>
      </x:c>
      <x:c r="G39" s="45" t="n">
        <x:v>0.957139366689</x:v>
      </x:c>
      <x:c r="H39" s="45" t="n">
        <x:v>0.886699507389</x:v>
      </x:c>
      <x:c r="I39" s="45" t="n">
        <x:v>0.302325581395</x:v>
      </x:c>
      <x:c r="J39" s="45" t="n">
        <x:v>0.89</x:v>
      </x:c>
      <x:c r="K39" s="45" t="n">
        <x:v>0.45117200198761054</x:v>
      </x:c>
      <x:c r="L39" s="45" t="n">
        <x:v>0.473062580975553</x:v>
      </x:c>
    </x:row>
    <x:row r="40" ht="15" hidden="0" customHeight="1">
      <x:c r="A40" s="38" t="str">
        <x:v>geometry_only</x:v>
      </x:c>
      <x:c r="B40" s="38" t="n">
        <x:v>7772</x:v>
      </x:c>
      <x:c r="C40" s="38" t="n">
        <x:v>163</x:v>
      </x:c>
      <x:c r="D40" s="38" t="n">
        <x:v>100</x:v>
      </x:c>
      <x:c r="E40" s="38" t="n">
        <x:v>63</x:v>
      </x:c>
      <x:c r="F40" s="45" t="n">
        <x:v>0.805079365079</x:v>
      </x:c>
      <x:c r="G40" s="45" t="n">
        <x:v>0.866008569509</x:v>
      </x:c>
      <x:c r="H40" s="45" t="n">
        <x:v>0.836206896552</x:v>
      </x:c>
      <x:c r="I40" s="45" t="n">
        <x:v>0.555555555556</x:v>
      </x:c>
      <x:c r="J40" s="45" t="n">
        <x:v>0.97</x:v>
      </x:c>
      <x:c r="K40" s="45" t="n">
        <x:v>0.45117200198761054</x:v>
      </x:c>
      <x:c r="L40" s="45" t="n">
        <x:v>0.473062580975553</x:v>
      </x:c>
    </x:row>
    <x:row r="41" ht="15" hidden="0" customHeight="1">
      <x:c r="A41" s="38" t="str">
        <x:v>geometry_only</x:v>
      </x:c>
      <x:c r="B41" s="38" t="n">
        <x:v>8193</x:v>
      </x:c>
      <x:c r="C41" s="38" t="n">
        <x:v>222</x:v>
      </x:c>
      <x:c r="D41" s="38" t="n">
        <x:v>100</x:v>
      </x:c>
      <x:c r="E41" s="38" t="n">
        <x:v>122</x:v>
      </x:c>
      <x:c r="F41" s="45" t="n">
        <x:v>0.980163934426</x:v>
      </x:c>
      <x:c r="G41" s="45" t="n">
        <x:v>0.975479008868</x:v>
      </x:c>
      <x:c r="H41" s="45" t="n">
        <x:v>0.923076923077</x:v>
      </x:c>
      <x:c r="I41" s="45" t="n">
        <x:v>0.081967213115</x:v>
      </x:c>
      <x:c r="J41" s="45" t="n">
        <x:v>0.95</x:v>
      </x:c>
      <x:c r="K41" s="45" t="n">
        <x:v>0.45117200198761054</x:v>
      </x:c>
      <x:c r="L41" s="45" t="n">
        <x:v>0.473062580975553</x:v>
      </x:c>
    </x:row>
    <x:row r="42" ht="15" hidden="0" customHeight="1">
      <x:c r="A42" s="38" t="str">
        <x:v>geometry_only</x:v>
      </x:c>
      <x:c r="B42" s="38" t="n">
        <x:v>8879</x:v>
      </x:c>
      <x:c r="C42" s="38" t="n">
        <x:v>250</x:v>
      </x:c>
      <x:c r="D42" s="38" t="n">
        <x:v>100</x:v>
      </x:c>
      <x:c r="E42" s="38" t="n">
        <x:v>150</x:v>
      </x:c>
      <x:c r="F42" s="45" t="n">
        <x:v>0.863533333333</x:v>
      </x:c>
      <x:c r="G42" s="45" t="n">
        <x:v>0.795351778492</x:v>
      </x:c>
      <x:c r="H42" s="45" t="n">
        <x:v>0.765432098765</x:v>
      </x:c>
      <x:c r="I42" s="45" t="n">
        <x:v>0.326666666667</x:v>
      </x:c>
      <x:c r="J42" s="45" t="n">
        <x:v>0.93</x:v>
      </x:c>
      <x:c r="K42" s="45" t="n">
        <x:v>0.45117200198761054</x:v>
      </x:c>
      <x:c r="L42" s="45" t="n">
        <x:v>0.473062580975553</x:v>
      </x:c>
    </x:row>
    <x:row r="43" ht="15" hidden="0" customHeight="1">
      <x:c r="A43" s="38" t="str">
        <x:v>geometry_only</x:v>
      </x:c>
      <x:c r="B43" s="38" t="n">
        <x:v>9009</x:v>
      </x:c>
      <x:c r="C43" s="38" t="n">
        <x:v>208</x:v>
      </x:c>
      <x:c r="D43" s="38" t="n">
        <x:v>100</x:v>
      </x:c>
      <x:c r="E43" s="38" t="n">
        <x:v>108</x:v>
      </x:c>
      <x:c r="F43" s="45" t="n">
        <x:v>0.855833333333</x:v>
      </x:c>
      <x:c r="G43" s="45" t="n">
        <x:v>0.837470571283</x:v>
      </x:c>
      <x:c r="H43" s="45" t="n">
        <x:v>0.761467889908</x:v>
      </x:c>
      <x:c r="I43" s="45" t="n">
        <x:v>0.305555555556</x:v>
      </x:c>
      <x:c r="J43" s="45" t="n">
        <x:v>0.83</x:v>
      </x:c>
      <x:c r="K43" s="45" t="n">
        <x:v>0.45117200198761054</x:v>
      </x:c>
      <x:c r="L43" s="45" t="n">
        <x:v>0.473062580975553</x:v>
      </x:c>
    </x:row>
    <x:row r="44" ht="15" hidden="0" customHeight="1">
      <x:c r="A44" s="39" t="str">
        <x:v>geometry_only</x:v>
      </x:c>
      <x:c r="B44" s="39" t="n">
        <x:v>9403</x:v>
      </x:c>
      <x:c r="C44" s="39" t="n">
        <x:v>177</x:v>
      </x:c>
      <x:c r="D44" s="39" t="n">
        <x:v>100</x:v>
      </x:c>
      <x:c r="E44" s="39" t="n">
        <x:v>77</x:v>
      </x:c>
      <x:c r="F44" s="46" t="n">
        <x:v>0.821558441558</x:v>
      </x:c>
      <x:c r="G44" s="46" t="n">
        <x:v>0.839600275556</x:v>
      </x:c>
      <x:c r="H44" s="46" t="n">
        <x:v>0.815789473684</x:v>
      </x:c>
      <x:c r="I44" s="46" t="n">
        <x:v>0.441558441558</x:v>
      </x:c>
      <x:c r="J44" s="46" t="n">
        <x:v>0.92</x:v>
      </x:c>
      <x:c r="K44" s="46" t="n">
        <x:v>0.45117200198761054</x:v>
      </x:c>
      <x:c r="L44" s="46" t="n">
        <x:v>0.473062580975553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2" t="str">
        <x:v>MOVi-A same-instance matching - result summary</x:v>
      </x:c>
    </x:row>
    <x:row r="3">
      <x:c r="A3" s="10" t="str">
        <x:v>Test-set point estimates</x:v>
      </x:c>
    </x:row>
    <x:row r="4">
      <x:c r="A4" s="4" t="str">
        <x:v>Configuration</x:v>
      </x:c>
      <x:c r="B4" s="4" t="str">
        <x:v>AUROC</x:v>
      </x:c>
      <x:c r="C4" s="4" t="str">
        <x:v>PR-AUC</x:v>
      </x:c>
      <x:c r="D4" s="4" t="str">
        <x:v>F1 locked</x:v>
      </x:c>
      <x:c r="E4" s="4" t="str">
        <x:v>FMR at locked 90%</x:v>
      </x:c>
      <x:c r="F4" s="4" t="str">
        <x:v>Achieved recall</x:v>
      </x:c>
    </x:row>
    <x:row r="5">
      <x:c r="A5" t="str">
        <x:f>'Aggregate'!A6</x:f>
        <x:v>A_rgb_only</x:v>
      </x:c>
      <x:c r="B5" s="60" t="n">
        <x:f>'Aggregate'!F6</x:f>
        <x:v>0.736519</x:v>
      </x:c>
      <x:c r="C5" s="60" t="n">
        <x:f>'Aggregate'!G6</x:f>
        <x:v>0.742481484351</x:v>
      </x:c>
      <x:c r="D5" s="60" t="n">
        <x:f>'Aggregate'!H6</x:f>
        <x:v>0.683568075117</x:v>
      </x:c>
      <x:c r="E5" s="60" t="n">
        <x:f>'Aggregate'!I6</x:f>
        <x:v>0.563</x:v>
      </x:c>
      <x:c r="F5" s="60" t="n">
        <x:f>'Aggregate'!J6</x:f>
        <x:v>0.847</x:v>
      </x:c>
    </x:row>
    <x:row r="6">
      <x:c r="A6" t="str">
        <x:f>'Aggregate'!A8</x:f>
        <x:v>B_rgb_2d</x:v>
      </x:c>
      <x:c r="B6" s="60" t="n">
        <x:f>'Aggregate'!F8</x:f>
        <x:v>0.827765</x:v>
      </x:c>
      <x:c r="C6" s="60" t="n">
        <x:f>'Aggregate'!G8</x:f>
        <x:v>0.809096333946</x:v>
      </x:c>
      <x:c r="D6" s="60" t="n">
        <x:f>'Aggregate'!H8</x:f>
        <x:v>0.762803234501</x:v>
      </x:c>
      <x:c r="E6" s="60" t="n">
        <x:f>'Aggregate'!I8</x:f>
        <x:v>0.374</x:v>
      </x:c>
      <x:c r="F6" s="60" t="n">
        <x:f>'Aggregate'!J8</x:f>
        <x:v>0.845</x:v>
      </x:c>
    </x:row>
    <x:row r="7">
      <x:c r="A7" t="str">
        <x:f>'Aggregate'!A10</x:f>
        <x:v>C_rgb_2d_3d</x:v>
      </x:c>
      <x:c r="B7" s="60" t="n">
        <x:f>'Aggregate'!F10</x:f>
        <x:v>0.888436</x:v>
      </x:c>
      <x:c r="C7" s="60" t="n">
        <x:f>'Aggregate'!G10</x:f>
        <x:v>0.886447403405</x:v>
      </x:c>
      <x:c r="D7" s="60" t="n">
        <x:f>'Aggregate'!H10</x:f>
        <x:v>0.797757654161</x:v>
      </x:c>
      <x:c r="E7" s="60" t="n">
        <x:f>'Aggregate'!I10</x:f>
        <x:v>0.295</x:v>
      </x:c>
      <x:c r="F7" s="60" t="n">
        <x:f>'Aggregate'!J10</x:f>
        <x:v>0.869</x:v>
      </x:c>
    </x:row>
    <x:row r="8">
      <x:c r="A8" t="str">
        <x:f>'Aggregate'!A12</x:f>
        <x:v>geometry_only</x:v>
      </x:c>
      <x:c r="B8" s="60" t="n">
        <x:f>'Aggregate'!F12</x:f>
        <x:v>0.865357</x:v>
      </x:c>
      <x:c r="C8" s="60" t="n">
        <x:f>'Aggregate'!G12</x:f>
        <x:v>0.853473530383</x:v>
      </x:c>
      <x:c r="D8" s="60" t="n">
        <x:f>'Aggregate'!H12</x:f>
        <x:v>0.798769771529</x:v>
      </x:c>
      <x:c r="E8" s="60" t="n">
        <x:f>'Aggregate'!I12</x:f>
        <x:v>0.355</x:v>
      </x:c>
      <x:c r="F8" s="60" t="n">
        <x:f>'Aggregate'!J12</x:f>
        <x:v>0.904</x:v>
      </x:c>
    </x:row>
    <x:row r="10">
      <x:c r="A10" s="10" t="str">
        <x:v>Primary B to C paired differences (95% video-cluster CI)</x:v>
      </x:c>
    </x:row>
    <x:row r="11">
      <x:c r="A11" s="4" t="str">
        <x:v>Metric</x:v>
      </x:c>
      <x:c r="B11" s="4" t="str">
        <x:v>Point delta</x:v>
      </x:c>
      <x:c r="C11" s="4" t="str">
        <x:v>CI lower</x:v>
      </x:c>
      <x:c r="D11" s="4" t="str">
        <x:v>CI upper</x:v>
      </x:c>
      <x:c r="E11" s="4" t="str">
        <x:v>Excludes zero</x:v>
      </x:c>
    </x:row>
    <x:row r="12">
      <x:c r="A12" t="str">
        <x:f>'Paired B-C'!C5</x:f>
        <x:v>auroc</x:v>
      </x:c>
      <x:c r="B12" s="60" t="n">
        <x:f>'Paired B-C'!F5</x:f>
        <x:v>0.060671</x:v>
      </x:c>
      <x:c r="C12" s="60" t="n">
        <x:f>'Paired B-C'!H5</x:f>
        <x:v>0.04271476785</x:v>
      </x:c>
      <x:c r="D12" s="60" t="n">
        <x:f>'Paired B-C'!I5</x:f>
        <x:v>0.082230100927</x:v>
      </x:c>
      <x:c r="E12" t="b">
        <x:f>'Paired B-C'!M5</x:f>
        <x:v>1</x:v>
      </x:c>
    </x:row>
    <x:row r="13">
      <x:c r="A13" t="str">
        <x:f>'Paired B-C'!C6</x:f>
        <x:v>pr_auc</x:v>
      </x:c>
      <x:c r="B13" s="60" t="n">
        <x:f>'Paired B-C'!F6</x:f>
        <x:v>0.077351069459</x:v>
      </x:c>
      <x:c r="C13" s="60" t="n">
        <x:f>'Paired B-C'!H6</x:f>
        <x:v>0.050300860448</x:v>
      </x:c>
      <x:c r="D13" s="60" t="n">
        <x:f>'Paired B-C'!I6</x:f>
        <x:v>0.101461644973</x:v>
      </x:c>
      <x:c r="E13" t="b">
        <x:f>'Paired B-C'!M6</x:f>
        <x:v>1</x:v>
      </x:c>
    </x:row>
    <x:row r="14">
      <x:c r="A14" t="str">
        <x:f>'Paired B-C'!C7</x:f>
        <x:v>f1_at_locked_threshold</x:v>
      </x:c>
      <x:c r="B14" s="60" t="n">
        <x:f>'Paired B-C'!F7</x:f>
        <x:v>0.03495441966</x:v>
      </x:c>
      <x:c r="C14" s="60" t="n">
        <x:f>'Paired B-C'!H7</x:f>
        <x:v>0.017539799765</x:v>
      </x:c>
      <x:c r="D14" s="60" t="n">
        <x:f>'Paired B-C'!I7</x:f>
        <x:v>0.053815639571</x:v>
      </x:c>
      <x:c r="E14" t="b">
        <x:f>'Paired B-C'!M7</x:f>
        <x:v>1</x:v>
      </x:c>
    </x:row>
    <x:row r="15">
      <x:c r="A15" t="str">
        <x:f>'Paired B-C'!C8</x:f>
        <x:v>false_match_rate_at_locked_90_recall_threshold</x:v>
      </x:c>
      <x:c r="B15" s="60" t="n">
        <x:f>'Paired B-C'!F8</x:f>
        <x:v>-0.079</x:v>
      </x:c>
      <x:c r="C15" s="60" t="n">
        <x:f>'Paired B-C'!H8</x:f>
        <x:v>-0.121979596904</x:v>
      </x:c>
      <x:c r="D15" s="60" t="n">
        <x:f>'Paired B-C'!I8</x:f>
        <x:v>-0.03489502423</x:v>
      </x:c>
      <x:c r="E15" t="b">
        <x:f>'Paired B-C'!M8</x:f>
        <x:v>1</x:v>
      </x:c>
    </x:row>
    <x:row r="16">
      <x:c r="A16" t="str">
        <x:f>'Paired B-C'!C9</x:f>
        <x:v>achieved_recall_at_locked_90_recall_threshold</x:v>
      </x:c>
      <x:c r="B16" s="60" t="n">
        <x:f>'Paired B-C'!F9</x:f>
        <x:v>0.024</x:v>
      </x:c>
      <x:c r="C16" s="60" t="n">
        <x:f>'Paired B-C'!H9</x:f>
        <x:v>-0.01</x:v>
      </x:c>
      <x:c r="D16" s="60" t="n">
        <x:f>'Paired B-C'!I9</x:f>
        <x:v>0.056</x:v>
      </x:c>
      <x:c r="E16" t="b">
        <x:f>'Paired B-C'!M9</x:f>
        <x:v>0</x:v>
      </x:c>
    </x:row>
    <x:row r="19">
      <x:c r="A19" s="10" t="str">
        <x:v>Interpretation boundary</x:v>
      </x:c>
    </x:row>
    <x:row r="20">
      <x:c r="A20" s="61" t="str">
        <x:v>Oracle geometry: simulator depth, instance masks, and calibration provide privileged, clean geometry.</x:v>
      </x:c>
      <x:c r="B20" s="61"/>
      <x:c r="C20" s="61"/>
      <x:c r="D20" s="61"/>
      <x:c r="E20" s="61"/>
      <x:c r="F20" s="61"/>
      <x:c r="G20" s="61"/>
      <x:c r="H20" s="61"/>
    </x:row>
    <x:row r="21">
      <x:c r="A21" s="61" t="str">
        <x:v>Fixed camera: camera motion, pose estimation, parallax compensation, and calibration drift are not tested.</x:v>
      </x:c>
      <x:c r="B21" s="61"/>
      <x:c r="C21" s="61"/>
      <x:c r="D21" s="61"/>
      <x:c r="E21" s="61"/>
      <x:c r="F21" s="61"/>
      <x:c r="G21" s="61"/>
      <x:c r="H21" s="61"/>
    </x:row>
    <x:row r="22">
      <x:c r="A22" s="61" t="str">
        <x:v>Inference scope: synthetic MOVi-A, 50 selected videos, within-video pairs, and 10 test-video clusters.</x:v>
      </x:c>
      <x:c r="B22" s="61"/>
      <x:c r="C22" s="61"/>
      <x:c r="D22" s="61"/>
      <x:c r="E22" s="61"/>
      <x:c r="F22" s="61"/>
      <x:c r="G22" s="61"/>
      <x:c r="H22" s="61"/>
    </x:row>
  </x:sheetData>
  <x:mergeCells>
    <x:mergeCell ref="A1:H1"/>
    <x:mergeCell ref="A3:H3"/>
    <x:mergeCell ref="A10:H10"/>
    <x:mergeCell ref="A19:H19"/>
    <x:mergeCell ref="A20:H20"/>
    <x:mergeCell ref="A21:H21"/>
    <x:mergeCell ref="A22:H22"/>
  </x:mergeCells>
  <x:pageMargins left="0.7" right="0.7" top="0.75" bottom="0.75" header="0.3" footer="0.3"/>
</x:worksheet>
</file>